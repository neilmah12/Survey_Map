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29087678772/WOPIServiceId_TP_BOX_2/WOPIUserId_-/"/>
    </mc:Choice>
  </mc:AlternateContent>
  <xr:revisionPtr revIDLastSave="6" documentId="13_ncr:1_{A4876805-FCD6-445A-8EDC-C5E2822C2C3C}" xr6:coauthVersionLast="47" xr6:coauthVersionMax="47" xr10:uidLastSave="{121C3E6F-E0BD-402A-A0E0-C9FE0ED2A68B}"/>
  <bookViews>
    <workbookView xWindow="-120" yWindow="-120" windowWidth="38640" windowHeight="21120" xr2:uid="{BD2D5A79-6EBD-4E61-BF00-96C9FF1EFEB2}"/>
  </bookViews>
  <sheets>
    <sheet name="Churchill Rental Surve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J7" i="2"/>
  <c r="K7" i="2" s="1"/>
  <c r="J6" i="2"/>
  <c r="K6" i="2" s="1"/>
  <c r="J5" i="2"/>
  <c r="K5" i="2" s="1"/>
  <c r="J12" i="2"/>
  <c r="K12" i="2" s="1"/>
  <c r="J11" i="2"/>
  <c r="K11" i="2" s="1"/>
  <c r="J10" i="2"/>
  <c r="K10" i="2" s="1"/>
  <c r="J9" i="2"/>
  <c r="K9" i="2" s="1"/>
  <c r="J4" i="2"/>
  <c r="K4" i="2" s="1"/>
  <c r="J3" i="2"/>
  <c r="K3" i="2" s="1"/>
  <c r="H4" i="2" l="1"/>
  <c r="H5" i="2"/>
  <c r="H6" i="2"/>
  <c r="H9" i="2"/>
  <c r="H10" i="2"/>
  <c r="H11" i="2"/>
  <c r="H12" i="2"/>
  <c r="H3" i="2"/>
  <c r="J16" i="2"/>
  <c r="K16" i="2" s="1"/>
  <c r="J15" i="2"/>
  <c r="K15" i="2" s="1"/>
  <c r="J14" i="2"/>
  <c r="K14" i="2" s="1"/>
  <c r="J13" i="2"/>
  <c r="K13" i="2" s="1"/>
</calcChain>
</file>

<file path=xl/sharedStrings.xml><?xml version="1.0" encoding="utf-8"?>
<sst xmlns="http://schemas.openxmlformats.org/spreadsheetml/2006/main" count="62" uniqueCount="45">
  <si>
    <t>Building Name</t>
  </si>
  <si>
    <t>Year Built</t>
  </si>
  <si>
    <t>Address</t>
  </si>
  <si>
    <t>Unit Type</t>
  </si>
  <si>
    <t>SF</t>
  </si>
  <si>
    <t>Rental Rate</t>
  </si>
  <si>
    <t>Rent PSF</t>
  </si>
  <si>
    <t>Parking Charge</t>
  </si>
  <si>
    <t>Net Rental rate</t>
  </si>
  <si>
    <t>2 Bedroom/2 Bath</t>
  </si>
  <si>
    <t>Churchill</t>
  </si>
  <si>
    <t>1 Bedroom / 1 Bath</t>
  </si>
  <si>
    <t>2 Bedroom / 1 Bath</t>
  </si>
  <si>
    <t>10015 103 Ave NW</t>
  </si>
  <si>
    <t>2 Bedroom / 2 Bath</t>
  </si>
  <si>
    <t>3 Bedroom / 2 Bath</t>
  </si>
  <si>
    <t>$125
Underground Parking</t>
  </si>
  <si>
    <t>1 Bedroom/1 Bath</t>
  </si>
  <si>
    <t>Connect Residences</t>
  </si>
  <si>
    <t>Edmonton House</t>
  </si>
  <si>
    <t>10020 101A Ave</t>
  </si>
  <si>
    <t>10205 100 Ave</t>
  </si>
  <si>
    <t>Park Square Apartments</t>
  </si>
  <si>
    <t>10001 Bellamy Hill</t>
  </si>
  <si>
    <t>Incentives</t>
  </si>
  <si>
    <t>1 free month rent</t>
  </si>
  <si>
    <t>1 month free rent, 500 move in bonus</t>
  </si>
  <si>
    <t>10621 100 Ave</t>
  </si>
  <si>
    <t>2 Bedroom/1 Bath</t>
  </si>
  <si>
    <t>2 months free rent on 15 month lease</t>
  </si>
  <si>
    <t>2 months free rent on 14 month lease, 3 months free parking</t>
  </si>
  <si>
    <t>E11even</t>
  </si>
  <si>
    <t>10045 111 St</t>
  </si>
  <si>
    <t>1 month free on 14 month lease (1 bedroom only), 1 week early move in</t>
  </si>
  <si>
    <t>1 week early move in</t>
  </si>
  <si>
    <r>
      <rPr>
        <b/>
        <sz val="16"/>
        <color theme="1"/>
        <rFont val="Calibri"/>
        <family val="2"/>
        <scheme val="minor"/>
      </rPr>
      <t>Rental Market Survey</t>
    </r>
    <r>
      <rPr>
        <sz val="16"/>
        <color theme="1"/>
        <rFont val="Calibri"/>
        <family val="2"/>
        <scheme val="minor"/>
      </rPr>
      <t xml:space="preserve">
Churchill Apartments
Edmonton, AB</t>
    </r>
  </si>
  <si>
    <t>Net Rent Psf</t>
  </si>
  <si>
    <t>Year Renovated</t>
  </si>
  <si>
    <t>2025/2026</t>
  </si>
  <si>
    <t>2019/2026</t>
  </si>
  <si>
    <t>$225 underground</t>
  </si>
  <si>
    <t>$100 underground</t>
  </si>
  <si>
    <t>$175 underground</t>
  </si>
  <si>
    <t>$170 underground</t>
  </si>
  <si>
    <t xml:space="preserve">100 House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</si>
</sst>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&quot;$&quot;#,##0.00"/>
    <numFmt numFmtId="166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0" xfId="2" applyFont="1" applyFill="1" applyBorder="1" applyAlignment="1">
      <alignment horizontal="center" vertical="center"/>
    </xf>
    <xf numFmtId="44" fontId="2" fillId="2" borderId="5" xfId="2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0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4" fontId="0" fillId="4" borderId="0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164" fontId="3" fillId="2" borderId="0" xfId="2" applyNumberFormat="1" applyFont="1" applyFill="1" applyBorder="1" applyAlignment="1">
      <alignment horizontal="center" vertical="center"/>
    </xf>
    <xf numFmtId="44" fontId="3" fillId="2" borderId="0" xfId="2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164" fontId="3" fillId="2" borderId="6" xfId="2" applyNumberFormat="1" applyFont="1" applyFill="1" applyBorder="1" applyAlignment="1">
      <alignment horizontal="center" vertical="center"/>
    </xf>
    <xf numFmtId="44" fontId="3" fillId="2" borderId="6" xfId="2" applyFont="1" applyFill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4" borderId="5" xfId="2" applyFont="1" applyFill="1" applyBorder="1" applyAlignment="1">
      <alignment horizontal="center" vertical="center"/>
    </xf>
    <xf numFmtId="44" fontId="0" fillId="3" borderId="5" xfId="2" applyFont="1" applyFill="1" applyBorder="1" applyAlignment="1">
      <alignment horizontal="center" vertical="center"/>
    </xf>
    <xf numFmtId="44" fontId="0" fillId="0" borderId="0" xfId="0" applyNumberFormat="1"/>
    <xf numFmtId="0" fontId="0" fillId="3" borderId="0" xfId="0" applyFill="1"/>
    <xf numFmtId="165" fontId="3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2" borderId="5" xfId="2" applyNumberFormat="1" applyFont="1" applyFill="1" applyBorder="1" applyAlignment="1">
      <alignment horizontal="center" vertical="center"/>
    </xf>
    <xf numFmtId="166" fontId="3" fillId="2" borderId="7" xfId="2" applyNumberFormat="1" applyFont="1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4" borderId="0" xfId="2" applyNumberFormat="1" applyFont="1" applyFill="1" applyBorder="1" applyAlignment="1">
      <alignment horizontal="center" vertical="center"/>
    </xf>
    <xf numFmtId="44" fontId="0" fillId="4" borderId="5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476481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56D40-2FE7-4209-939C-B1FB3F17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012E-074F-4235-ACA0-F834E8931620}">
  <sheetPr>
    <pageSetUpPr fitToPage="1"/>
  </sheetPr>
  <dimension ref="A1:L31"/>
  <sheetViews>
    <sheetView tabSelected="1" topLeftCell="A2" zoomScaleNormal="100" workbookViewId="0">
      <selection activeCell="M9" sqref="M9"/>
    </sheetView>
  </sheetViews>
  <sheetFormatPr defaultRowHeight="15" x14ac:dyDescent="0.25"/>
  <cols>
    <col min="1" max="3" width="22.140625" customWidth="1"/>
    <col min="4" max="4" width="23.28515625" style="21" bestFit="1" customWidth="1"/>
    <col min="5" max="5" width="24.85546875" style="21" bestFit="1" customWidth="1"/>
    <col min="6" max="6" width="12" style="21" customWidth="1"/>
    <col min="7" max="7" width="14.28515625" style="20" customWidth="1"/>
    <col min="8" max="8" width="9" style="21" bestFit="1" customWidth="1"/>
    <col min="9" max="9" width="17.140625" hidden="1" customWidth="1"/>
    <col min="10" max="10" width="15.42578125" hidden="1" customWidth="1"/>
    <col min="11" max="11" width="11.7109375" style="24" hidden="1" customWidth="1"/>
    <col min="12" max="12" width="66.28515625" hidden="1" customWidth="1"/>
    <col min="13" max="13" width="12.85546875" customWidth="1"/>
    <col min="14" max="14" width="11.7109375" customWidth="1"/>
    <col min="15" max="15" width="11.85546875" customWidth="1"/>
  </cols>
  <sheetData>
    <row r="1" spans="1:12" ht="87.75" customHeight="1" x14ac:dyDescent="0.25">
      <c r="A1" s="37" t="s">
        <v>35</v>
      </c>
      <c r="B1" s="38"/>
      <c r="C1" s="38"/>
      <c r="D1" s="38"/>
      <c r="E1" s="38"/>
      <c r="F1" s="38"/>
      <c r="G1" s="38"/>
      <c r="H1" s="39"/>
    </row>
    <row r="2" spans="1:12" ht="36" customHeight="1" x14ac:dyDescent="0.25">
      <c r="A2" s="1" t="s">
        <v>0</v>
      </c>
      <c r="B2" s="2" t="s">
        <v>1</v>
      </c>
      <c r="C2" s="2" t="s">
        <v>37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3" t="s">
        <v>7</v>
      </c>
      <c r="J2" s="4" t="s">
        <v>8</v>
      </c>
      <c r="K2" s="3" t="s">
        <v>36</v>
      </c>
      <c r="L2" s="3" t="s">
        <v>24</v>
      </c>
    </row>
    <row r="3" spans="1:12" ht="24.95" customHeight="1" x14ac:dyDescent="0.25">
      <c r="A3" s="33" t="s">
        <v>18</v>
      </c>
      <c r="B3" s="34">
        <v>1977</v>
      </c>
      <c r="C3" s="34" t="s">
        <v>38</v>
      </c>
      <c r="D3" s="34" t="s">
        <v>20</v>
      </c>
      <c r="E3" s="8" t="s">
        <v>17</v>
      </c>
      <c r="F3" s="9">
        <v>466</v>
      </c>
      <c r="G3" s="10">
        <v>1485</v>
      </c>
      <c r="H3" s="22">
        <f>G3/F3</f>
        <v>3.1866952789699572</v>
      </c>
      <c r="I3" t="s">
        <v>40</v>
      </c>
      <c r="J3" s="29">
        <f>G3+225</f>
        <v>1710</v>
      </c>
      <c r="K3" s="27">
        <f>J3/F3</f>
        <v>3.6695278969957084</v>
      </c>
      <c r="L3" t="s">
        <v>26</v>
      </c>
    </row>
    <row r="4" spans="1:12" ht="24.95" customHeight="1" x14ac:dyDescent="0.25">
      <c r="A4" s="33"/>
      <c r="B4" s="34"/>
      <c r="C4" s="34"/>
      <c r="D4" s="34"/>
      <c r="E4" s="8" t="s">
        <v>9</v>
      </c>
      <c r="F4" s="9">
        <v>743</v>
      </c>
      <c r="G4" s="10">
        <v>1950</v>
      </c>
      <c r="H4" s="22">
        <f t="shared" ref="H4:H12" si="0">G4/F4</f>
        <v>2.6244952893674292</v>
      </c>
      <c r="I4" t="s">
        <v>40</v>
      </c>
      <c r="J4" s="29">
        <f>G4+225</f>
        <v>2175</v>
      </c>
      <c r="K4" s="27">
        <f t="shared" ref="K4:K16" si="1">J4/F4</f>
        <v>2.9273216689098249</v>
      </c>
      <c r="L4" t="s">
        <v>26</v>
      </c>
    </row>
    <row r="5" spans="1:12" ht="24.95" customHeight="1" x14ac:dyDescent="0.25">
      <c r="A5" s="40" t="s">
        <v>19</v>
      </c>
      <c r="B5" s="45">
        <v>1979</v>
      </c>
      <c r="C5" s="45">
        <v>2015</v>
      </c>
      <c r="D5" s="41" t="s">
        <v>21</v>
      </c>
      <c r="E5" s="5" t="s">
        <v>17</v>
      </c>
      <c r="F5" s="6">
        <v>600</v>
      </c>
      <c r="G5" s="7">
        <v>1300</v>
      </c>
      <c r="H5" s="23">
        <f t="shared" si="0"/>
        <v>2.1666666666666665</v>
      </c>
      <c r="I5" s="25" t="s">
        <v>41</v>
      </c>
      <c r="J5" s="32">
        <f>G5+100</f>
        <v>1400</v>
      </c>
      <c r="K5" s="28">
        <f t="shared" si="1"/>
        <v>2.3333333333333335</v>
      </c>
      <c r="L5" s="25" t="s">
        <v>30</v>
      </c>
    </row>
    <row r="6" spans="1:12" ht="24.95" customHeight="1" x14ac:dyDescent="0.25">
      <c r="A6" s="40"/>
      <c r="B6" s="45"/>
      <c r="C6" s="45"/>
      <c r="D6" s="41"/>
      <c r="E6" s="5" t="s">
        <v>9</v>
      </c>
      <c r="F6" s="6">
        <v>1200</v>
      </c>
      <c r="G6" s="7">
        <v>2100</v>
      </c>
      <c r="H6" s="23">
        <f t="shared" si="0"/>
        <v>1.75</v>
      </c>
      <c r="I6" s="25" t="s">
        <v>41</v>
      </c>
      <c r="J6" s="32">
        <f>G6+100</f>
        <v>2200</v>
      </c>
      <c r="K6" s="28">
        <f t="shared" si="1"/>
        <v>1.8333333333333333</v>
      </c>
      <c r="L6" s="25" t="s">
        <v>30</v>
      </c>
    </row>
    <row r="7" spans="1:12" ht="24.95" customHeight="1" x14ac:dyDescent="0.25">
      <c r="A7" s="33" t="s">
        <v>22</v>
      </c>
      <c r="B7" s="46">
        <v>1975</v>
      </c>
      <c r="C7" s="34">
        <v>2001</v>
      </c>
      <c r="D7" s="34" t="s">
        <v>23</v>
      </c>
      <c r="E7" s="35" t="s">
        <v>9</v>
      </c>
      <c r="F7" s="36">
        <v>850</v>
      </c>
      <c r="G7" s="47">
        <v>1718</v>
      </c>
      <c r="H7" s="48">
        <f>G7/F7</f>
        <v>2.0211764705882351</v>
      </c>
      <c r="I7" s="49" t="s">
        <v>41</v>
      </c>
      <c r="J7" s="50">
        <f>G7+100</f>
        <v>1818</v>
      </c>
      <c r="K7" s="43">
        <f>J7/F7</f>
        <v>2.1388235294117646</v>
      </c>
      <c r="L7" s="44" t="s">
        <v>25</v>
      </c>
    </row>
    <row r="8" spans="1:12" ht="24.95" customHeight="1" x14ac:dyDescent="0.25">
      <c r="A8" s="33"/>
      <c r="B8" s="46"/>
      <c r="C8" s="34"/>
      <c r="D8" s="34"/>
      <c r="E8" s="35"/>
      <c r="F8" s="36"/>
      <c r="G8" s="47"/>
      <c r="H8" s="48"/>
      <c r="I8" s="49"/>
      <c r="J8" s="50"/>
      <c r="K8" s="43"/>
      <c r="L8" s="44"/>
    </row>
    <row r="9" spans="1:12" ht="24.95" customHeight="1" x14ac:dyDescent="0.25">
      <c r="A9" s="41" t="s">
        <v>44</v>
      </c>
      <c r="B9" s="41">
        <v>1954</v>
      </c>
      <c r="C9" s="41" t="s">
        <v>39</v>
      </c>
      <c r="D9" s="41" t="s">
        <v>27</v>
      </c>
      <c r="E9" s="5" t="s">
        <v>17</v>
      </c>
      <c r="F9" s="6">
        <v>670</v>
      </c>
      <c r="G9" s="7">
        <v>1575</v>
      </c>
      <c r="H9" s="23">
        <f t="shared" si="0"/>
        <v>2.3507462686567164</v>
      </c>
      <c r="I9" t="s">
        <v>42</v>
      </c>
      <c r="J9" s="29">
        <f>G9+175</f>
        <v>1750</v>
      </c>
      <c r="K9" s="27">
        <f t="shared" si="1"/>
        <v>2.6119402985074629</v>
      </c>
      <c r="L9" t="s">
        <v>29</v>
      </c>
    </row>
    <row r="10" spans="1:12" ht="24.95" customHeight="1" x14ac:dyDescent="0.25">
      <c r="A10" s="41"/>
      <c r="B10" s="41"/>
      <c r="C10" s="41"/>
      <c r="D10" s="41"/>
      <c r="E10" s="5" t="s">
        <v>28</v>
      </c>
      <c r="F10" s="6">
        <v>798</v>
      </c>
      <c r="G10" s="7">
        <v>1750</v>
      </c>
      <c r="H10" s="23">
        <f t="shared" si="0"/>
        <v>2.192982456140351</v>
      </c>
      <c r="I10" t="s">
        <v>42</v>
      </c>
      <c r="J10" s="29">
        <f>G10+175</f>
        <v>1925</v>
      </c>
      <c r="K10" s="27">
        <f t="shared" si="1"/>
        <v>2.4122807017543861</v>
      </c>
      <c r="L10" t="s">
        <v>29</v>
      </c>
    </row>
    <row r="11" spans="1:12" ht="24.95" customHeight="1" x14ac:dyDescent="0.25">
      <c r="A11" s="33" t="s">
        <v>31</v>
      </c>
      <c r="B11" s="46">
        <v>1978</v>
      </c>
      <c r="C11" s="34">
        <v>2019</v>
      </c>
      <c r="D11" s="34" t="s">
        <v>32</v>
      </c>
      <c r="E11" s="8" t="s">
        <v>17</v>
      </c>
      <c r="F11" s="9">
        <v>698</v>
      </c>
      <c r="G11" s="10">
        <v>1670</v>
      </c>
      <c r="H11" s="22">
        <f t="shared" si="0"/>
        <v>2.3925501432664755</v>
      </c>
      <c r="I11" s="25" t="s">
        <v>43</v>
      </c>
      <c r="J11" s="32">
        <f>G11+170</f>
        <v>1840</v>
      </c>
      <c r="K11" s="28">
        <f t="shared" si="1"/>
        <v>2.6361031518624642</v>
      </c>
      <c r="L11" s="25" t="s">
        <v>33</v>
      </c>
    </row>
    <row r="12" spans="1:12" ht="24.95" customHeight="1" x14ac:dyDescent="0.25">
      <c r="A12" s="33"/>
      <c r="B12" s="46"/>
      <c r="C12" s="34"/>
      <c r="D12" s="34"/>
      <c r="E12" s="8" t="s">
        <v>9</v>
      </c>
      <c r="F12" s="9">
        <v>1029</v>
      </c>
      <c r="G12" s="10">
        <v>2129</v>
      </c>
      <c r="H12" s="22">
        <f t="shared" si="0"/>
        <v>2.0689990281827018</v>
      </c>
      <c r="I12" s="25" t="s">
        <v>43</v>
      </c>
      <c r="J12" s="32">
        <f>G12+170</f>
        <v>2299</v>
      </c>
      <c r="K12" s="28">
        <f t="shared" si="1"/>
        <v>2.2342079689018464</v>
      </c>
      <c r="L12" s="25" t="s">
        <v>34</v>
      </c>
    </row>
    <row r="13" spans="1:12" ht="24" customHeight="1" x14ac:dyDescent="0.25">
      <c r="A13" s="42" t="s">
        <v>10</v>
      </c>
      <c r="B13" s="42">
        <v>1972</v>
      </c>
      <c r="C13" s="42">
        <v>2025</v>
      </c>
      <c r="D13" s="42" t="s">
        <v>13</v>
      </c>
      <c r="E13" s="11" t="s">
        <v>11</v>
      </c>
      <c r="F13" s="12">
        <v>636</v>
      </c>
      <c r="G13" s="13">
        <v>1601</v>
      </c>
      <c r="H13" s="14">
        <v>2.5175288989956415</v>
      </c>
      <c r="I13" s="15" t="s">
        <v>16</v>
      </c>
      <c r="J13" s="30">
        <f>G13+125</f>
        <v>1726</v>
      </c>
      <c r="K13" s="26">
        <f t="shared" si="1"/>
        <v>2.7138364779874213</v>
      </c>
    </row>
    <row r="14" spans="1:12" ht="30" customHeight="1" thickBot="1" x14ac:dyDescent="0.3">
      <c r="A14" s="42"/>
      <c r="B14" s="42"/>
      <c r="C14" s="42"/>
      <c r="D14" s="42"/>
      <c r="E14" s="16" t="s">
        <v>12</v>
      </c>
      <c r="F14" s="17">
        <v>826</v>
      </c>
      <c r="G14" s="18">
        <v>1841</v>
      </c>
      <c r="H14" s="19">
        <v>2.2292293850998304</v>
      </c>
      <c r="I14" s="15" t="s">
        <v>16</v>
      </c>
      <c r="J14" s="31">
        <f>G14+125</f>
        <v>1966</v>
      </c>
      <c r="K14" s="26">
        <f t="shared" si="1"/>
        <v>2.3801452784503634</v>
      </c>
    </row>
    <row r="15" spans="1:12" ht="27.75" customHeight="1" thickBot="1" x14ac:dyDescent="0.3">
      <c r="A15" s="42"/>
      <c r="B15" s="42"/>
      <c r="C15" s="42"/>
      <c r="D15" s="42"/>
      <c r="E15" s="11" t="s">
        <v>14</v>
      </c>
      <c r="F15" s="12">
        <v>839</v>
      </c>
      <c r="G15" s="13">
        <v>1953</v>
      </c>
      <c r="H15" s="14">
        <v>2.3292257827788649</v>
      </c>
      <c r="I15" s="15" t="s">
        <v>16</v>
      </c>
      <c r="J15" s="31">
        <f t="shared" ref="J15:J16" si="2">G15+125</f>
        <v>2078</v>
      </c>
      <c r="K15" s="26">
        <f t="shared" si="1"/>
        <v>2.4767580452920144</v>
      </c>
    </row>
    <row r="16" spans="1:12" ht="28.5" customHeight="1" thickBot="1" x14ac:dyDescent="0.3">
      <c r="A16" s="42"/>
      <c r="B16" s="42"/>
      <c r="C16" s="42"/>
      <c r="D16" s="42"/>
      <c r="E16" s="11" t="s">
        <v>15</v>
      </c>
      <c r="F16" s="12">
        <v>1018</v>
      </c>
      <c r="G16" s="13">
        <v>2225</v>
      </c>
      <c r="H16" s="14">
        <v>2.1856581532416501</v>
      </c>
      <c r="I16" s="15" t="s">
        <v>16</v>
      </c>
      <c r="J16" s="31">
        <f t="shared" si="2"/>
        <v>2350</v>
      </c>
      <c r="K16" s="26">
        <f t="shared" si="1"/>
        <v>2.3084479371316307</v>
      </c>
    </row>
    <row r="17" spans="1:12" ht="20.100000000000001" customHeight="1" x14ac:dyDescent="0.25">
      <c r="D17"/>
      <c r="E17"/>
      <c r="F17"/>
      <c r="G17"/>
      <c r="H17"/>
    </row>
    <row r="18" spans="1:12" ht="20.100000000000001" customHeight="1" x14ac:dyDescent="0.25">
      <c r="D18"/>
      <c r="E18"/>
      <c r="F18"/>
      <c r="G18"/>
      <c r="H18"/>
    </row>
    <row r="19" spans="1:12" ht="20.100000000000001" customHeight="1" x14ac:dyDescent="0.25">
      <c r="D19"/>
      <c r="E19"/>
      <c r="F19"/>
      <c r="G19"/>
      <c r="H19"/>
    </row>
    <row r="20" spans="1:12" ht="20.100000000000001" customHeight="1" x14ac:dyDescent="0.25">
      <c r="D20"/>
      <c r="E20"/>
      <c r="F20"/>
      <c r="G20"/>
      <c r="H20"/>
    </row>
    <row r="21" spans="1:12" ht="20.100000000000001" customHeight="1" x14ac:dyDescent="0.25">
      <c r="D21"/>
      <c r="E21"/>
      <c r="F21"/>
      <c r="G21"/>
      <c r="H21"/>
    </row>
    <row r="22" spans="1:12" ht="20.100000000000001" customHeight="1" x14ac:dyDescent="0.25">
      <c r="D22"/>
      <c r="E22"/>
      <c r="F22"/>
      <c r="G22"/>
      <c r="H22"/>
    </row>
    <row r="23" spans="1:12" ht="20.100000000000001" customHeight="1" x14ac:dyDescent="0.25">
      <c r="D23"/>
      <c r="E23"/>
      <c r="F23"/>
      <c r="G23"/>
      <c r="H23"/>
    </row>
    <row r="24" spans="1:12" ht="20.100000000000001" customHeight="1" x14ac:dyDescent="0.25">
      <c r="D24"/>
      <c r="E24"/>
      <c r="F24"/>
      <c r="G24"/>
      <c r="H24"/>
    </row>
    <row r="25" spans="1:12" ht="20.100000000000001" customHeight="1" x14ac:dyDescent="0.25">
      <c r="D25"/>
      <c r="E25"/>
      <c r="F25"/>
      <c r="G25"/>
      <c r="H25"/>
    </row>
    <row r="26" spans="1:12" ht="20.100000000000001" customHeight="1" x14ac:dyDescent="0.25">
      <c r="D26"/>
      <c r="E26"/>
      <c r="F26"/>
      <c r="G26"/>
      <c r="H26"/>
    </row>
    <row r="27" spans="1:12" ht="20.100000000000001" customHeight="1" x14ac:dyDescent="0.25">
      <c r="D27"/>
      <c r="E27"/>
      <c r="F27"/>
      <c r="G27"/>
      <c r="H27"/>
    </row>
    <row r="28" spans="1:12" x14ac:dyDescent="0.25">
      <c r="D28"/>
      <c r="E28"/>
      <c r="F28"/>
      <c r="G28"/>
      <c r="H28"/>
    </row>
    <row r="29" spans="1:12" x14ac:dyDescent="0.25">
      <c r="D29"/>
      <c r="E29"/>
      <c r="F29"/>
      <c r="G29"/>
      <c r="H29"/>
    </row>
    <row r="30" spans="1:12" x14ac:dyDescent="0.25">
      <c r="D30"/>
      <c r="E30"/>
      <c r="F30"/>
    </row>
    <row r="31" spans="1:12" s="20" customFormat="1" x14ac:dyDescent="0.25">
      <c r="A31"/>
      <c r="B31"/>
      <c r="C31"/>
      <c r="D31"/>
      <c r="E31"/>
      <c r="F31"/>
      <c r="H31" s="21"/>
      <c r="I31"/>
      <c r="J31"/>
      <c r="K31" s="24"/>
      <c r="L31"/>
    </row>
  </sheetData>
  <mergeCells count="33">
    <mergeCell ref="I7:I8"/>
    <mergeCell ref="J7:J8"/>
    <mergeCell ref="K7:K8"/>
    <mergeCell ref="L7:L8"/>
    <mergeCell ref="D13:D16"/>
    <mergeCell ref="B3:B4"/>
    <mergeCell ref="B5:B6"/>
    <mergeCell ref="B7:B8"/>
    <mergeCell ref="B9:B10"/>
    <mergeCell ref="B11:B12"/>
    <mergeCell ref="C3:C4"/>
    <mergeCell ref="C5:C6"/>
    <mergeCell ref="C7:C8"/>
    <mergeCell ref="D11:D12"/>
    <mergeCell ref="D9:D10"/>
    <mergeCell ref="C13:C16"/>
    <mergeCell ref="G7:G8"/>
    <mergeCell ref="H7:H8"/>
    <mergeCell ref="A13:A16"/>
    <mergeCell ref="B13:B16"/>
    <mergeCell ref="C9:C10"/>
    <mergeCell ref="C11:C12"/>
    <mergeCell ref="A9:A10"/>
    <mergeCell ref="A11:A12"/>
    <mergeCell ref="A7:A8"/>
    <mergeCell ref="D7:D8"/>
    <mergeCell ref="E7:E8"/>
    <mergeCell ref="F7:F8"/>
    <mergeCell ref="A1:H1"/>
    <mergeCell ref="A3:A4"/>
    <mergeCell ref="D3:D4"/>
    <mergeCell ref="A5:A6"/>
    <mergeCell ref="D5:D6"/>
  </mergeCells>
  <pageMargins left="0.7" right="0.7" top="0.75" bottom="0.75" header="0.3" footer="0.3"/>
  <pageSetup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Churchill Rental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Mah, Neil (Avison Young - CA)</dc:creator>
  <cp:lastModifiedBy>Neil Mah</cp:lastModifiedBy>
  <dcterms:created xsi:type="dcterms:W3CDTF">2026-05-13T22:11:28Z</dcterms:created>
  <dcterms:modified xsi:type="dcterms:W3CDTF">2026-05-20T16:13:20Z</dcterms:modified>
</cp:coreProperties>
</file>