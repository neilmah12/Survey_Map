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39407483613/WOPIServiceId_TP_BOX_2/WOPIUserId_-/"/>
    </mc:Choice>
  </mc:AlternateContent>
  <xr:revisionPtr revIDLastSave="406" documentId="13_ncr:1_{0705A25D-D06C-4573-9988-25A71106E422}" xr6:coauthVersionLast="47" xr6:coauthVersionMax="47" xr10:uidLastSave="{2F0AC964-0691-4843-8B61-22397AF9B22D}"/>
  <bookViews>
    <workbookView xWindow="-120" yWindow="-120" windowWidth="29040" windowHeight="15720" xr2:uid="{B7C7C999-F651-44C5-B872-474C89041370}"/>
  </bookViews>
  <sheets>
    <sheet name="Glenora Townhomes NM" sheetId="6" r:id="rId1"/>
    <sheet name="Glenora Townhomes (19 units)" sheetId="4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" i="6" l="1"/>
  <c r="J8" i="6"/>
  <c r="J3" i="6"/>
  <c r="J7" i="6"/>
  <c r="J6" i="6"/>
  <c r="J5" i="6"/>
  <c r="J4" i="6"/>
  <c r="K9" i="6"/>
  <c r="K8" i="6"/>
  <c r="I9" i="6"/>
  <c r="I8" i="6"/>
  <c r="K7" i="6"/>
  <c r="K5" i="6"/>
  <c r="I6" i="6"/>
  <c r="I4" i="6"/>
  <c r="I3" i="6"/>
  <c r="K3" i="6" s="1"/>
  <c r="H9" i="6"/>
  <c r="H8" i="6"/>
  <c r="H7" i="6"/>
  <c r="H6" i="6"/>
  <c r="H5" i="6"/>
  <c r="H4" i="6"/>
  <c r="H3" i="6"/>
  <c r="L3" i="4"/>
  <c r="L10" i="4"/>
  <c r="L9" i="4"/>
  <c r="L8" i="4"/>
  <c r="L7" i="4"/>
  <c r="L5" i="4"/>
  <c r="L6" i="4"/>
  <c r="L4" i="4"/>
  <c r="H9" i="4"/>
  <c r="H10" i="4"/>
  <c r="H6" i="4"/>
  <c r="H8" i="4"/>
  <c r="H4" i="4"/>
  <c r="H5" i="4"/>
  <c r="H7" i="4"/>
  <c r="K6" i="6" l="1"/>
  <c r="K4" i="6"/>
  <c r="H3" i="4"/>
</calcChain>
</file>

<file path=xl/sharedStrings.xml><?xml version="1.0" encoding="utf-8"?>
<sst xmlns="http://schemas.openxmlformats.org/spreadsheetml/2006/main" count="142" uniqueCount="98">
  <si>
    <t>Address</t>
  </si>
  <si>
    <t>Rent PSF</t>
  </si>
  <si>
    <t>Building Name</t>
  </si>
  <si>
    <t>Unit Type</t>
  </si>
  <si>
    <t>Year Built</t>
  </si>
  <si>
    <t>2 Bedroom/2.5 Bath</t>
  </si>
  <si>
    <t>11528 - 122 Street NW</t>
  </si>
  <si>
    <t>2 Bedroom/1.5 Bath</t>
  </si>
  <si>
    <r>
      <rPr>
        <b/>
        <sz val="16"/>
        <color theme="1"/>
        <rFont val="Calibri"/>
        <family val="2"/>
        <scheme val="minor"/>
      </rPr>
      <t>Rental Market Survey</t>
    </r>
    <r>
      <rPr>
        <sz val="16"/>
        <color theme="1"/>
        <rFont val="Calibri"/>
        <family val="2"/>
        <scheme val="minor"/>
      </rPr>
      <t xml:space="preserve">
Glenora Townhomes
Edmonton, AB</t>
    </r>
  </si>
  <si>
    <t>Glenora Towhnomes</t>
  </si>
  <si>
    <t>14035/39 106 Avenue NW</t>
  </si>
  <si>
    <t>Jasper Place Townhomes</t>
  </si>
  <si>
    <t>9815 - 153 Street NW</t>
  </si>
  <si>
    <t>Grovenor Towhomes</t>
  </si>
  <si>
    <t>10363 - 149 Street NW</t>
  </si>
  <si>
    <t>2 Bedroom/1 Bath</t>
  </si>
  <si>
    <t>North Glenora Townhomes</t>
  </si>
  <si>
    <t>10904 - 139 Street NW</t>
  </si>
  <si>
    <t>Inglewood Townhomes</t>
  </si>
  <si>
    <t>13206 - 112 Avenue NW</t>
  </si>
  <si>
    <t>Woodcroft Townhomes</t>
  </si>
  <si>
    <t>13516 - 115 Avenue NW</t>
  </si>
  <si>
    <t>Westmount Townhomes</t>
  </si>
  <si>
    <t>Net Rental rate</t>
  </si>
  <si>
    <t>$125
Single Car Garage</t>
  </si>
  <si>
    <t>Unit Configuration</t>
  </si>
  <si>
    <t>Stacked</t>
  </si>
  <si>
    <t>Non-stacked</t>
  </si>
  <si>
    <t>$100
Single Car Garage</t>
  </si>
  <si>
    <t>$300 
Includes all utilities</t>
  </si>
  <si>
    <t>$295
Additional $100/occupant
Does not include power</t>
  </si>
  <si>
    <t>Utility Charge</t>
  </si>
  <si>
    <t>Parking Charge</t>
  </si>
  <si>
    <t>$200
Single Car Garage</t>
  </si>
  <si>
    <t>$275
Additional $100/occupant</t>
  </si>
  <si>
    <t>Tenants responsible for utilities</t>
  </si>
  <si>
    <t>$400 
Includes all utilities</t>
  </si>
  <si>
    <t>$0
Street Parking</t>
  </si>
  <si>
    <t>$60
Surface Parking</t>
  </si>
  <si>
    <t>$375
Includes all utilities</t>
  </si>
  <si>
    <t>$325
Additional $100/occupant
Does not include water/waste</t>
  </si>
  <si>
    <t>Mila Plan
2 Bedroom/1.5 Bath + unfinished basement</t>
  </si>
  <si>
    <t>Nero II Plan
2 Bedroom/1.5 Bath + garage/driveway</t>
  </si>
  <si>
    <t>Incentives</t>
  </si>
  <si>
    <t>Base Rental Rate</t>
  </si>
  <si>
    <t>Unit SF</t>
  </si>
  <si>
    <t>1 Month Free Rent (amortized over 13-month lease)</t>
  </si>
  <si>
    <t>Notes</t>
  </si>
  <si>
    <t>Link</t>
  </si>
  <si>
    <t>https://www.rentfaster.ca/properties/13206-112-ave-nw-edmonton-725053</t>
  </si>
  <si>
    <t>https://livefurnished.ca/edmonton/property/edmonton-unfurnished-townhouse-rental-in-westmount-13204-112-ave/</t>
  </si>
  <si>
    <t>Link 2</t>
  </si>
  <si>
    <t>https://www.rentfaster.ca/properties/13516-115-avenue-nw-edmonton-673160?r=-RSYNC</t>
  </si>
  <si>
    <t xml:space="preserve">$300                                           Includes all utilities </t>
  </si>
  <si>
    <t>Rent $1,750 for the first 6 months(incentive), then $1,850 for the remainder of the lease term. Sign an 18 month lease and receive a 65'' TV</t>
  </si>
  <si>
    <t>https://www.rentfaster.ca/properties/10904-139-st-nw-edmonton-729759</t>
  </si>
  <si>
    <t>15210 109 Avenue NW</t>
  </si>
  <si>
    <t>https://www.rentfaster.ca/properties/15210-109-avenue-northwest-edmonton-518938</t>
  </si>
  <si>
    <t>Contact Info</t>
  </si>
  <si>
    <t> (780) 446-3814</t>
  </si>
  <si>
    <t>15010 - 94 Avenue NW</t>
  </si>
  <si>
    <t>15210 - 109 Avenue NW</t>
  </si>
  <si>
    <t>2 Bedroom/2 Bath</t>
  </si>
  <si>
    <t>$275                                                    includes all utilities</t>
  </si>
  <si>
    <t>https://livefurnished.ca/edmonton/property/edmonton-unfurnished-townhouse-rental-in-west-jasper-place-15010-94-ave-main/</t>
  </si>
  <si>
    <t>https://www.rentfaster.ca/properties/15010-94-ave-nw-edmonton-732236</t>
  </si>
  <si>
    <t> (780) 900-9420</t>
  </si>
  <si>
    <t>(780) 900-7420</t>
  </si>
  <si>
    <t>Sherwood Townhomes</t>
  </si>
  <si>
    <t>(825) 601-5414</t>
  </si>
  <si>
    <t>(780) 278-4302</t>
  </si>
  <si>
    <t>Map of comps</t>
  </si>
  <si>
    <t>Phone out of service, EMAIL SENT    Available June 1, 2026</t>
  </si>
  <si>
    <t>Phoned, didn’t answer</t>
  </si>
  <si>
    <t>New options</t>
  </si>
  <si>
    <t>Incentive</t>
  </si>
  <si>
    <t>Contact Notes</t>
  </si>
  <si>
    <t>Gross Rental Rate</t>
  </si>
  <si>
    <t>Gross Rent PSF</t>
  </si>
  <si>
    <t>Net Rental Rate</t>
  </si>
  <si>
    <t>Net Rent PSF</t>
  </si>
  <si>
    <t>Ancillary Revenue</t>
  </si>
  <si>
    <t>Surface Parking - $60/month
Pet - $500 nonrefundable deposit</t>
  </si>
  <si>
    <t>Single Car Garage - $100/month
Pet - $50/month</t>
  </si>
  <si>
    <t>Single Car Garage - $200/month
Pet - $50/month</t>
  </si>
  <si>
    <t>Incentive of $500 giftcard</t>
  </si>
  <si>
    <t>Pet - $50/month</t>
  </si>
  <si>
    <t>Single Car Garage - $125/month
Pet - $50/month</t>
  </si>
  <si>
    <t>Row Labels</t>
  </si>
  <si>
    <t>Grand Total</t>
  </si>
  <si>
    <t>Average of Gross Rental Rate</t>
  </si>
  <si>
    <t>Average of Unit SF</t>
  </si>
  <si>
    <t>Average of Gross Rent PSF</t>
  </si>
  <si>
    <t>Average of Net Rental Rate</t>
  </si>
  <si>
    <t>Average of Net Rent PSF</t>
  </si>
  <si>
    <t>Tenant responsible for servicing their unit</t>
  </si>
  <si>
    <t>2 Bedroom/1.5 Bath + unfinished basement</t>
  </si>
  <si>
    <t>2 Bedroom/1.5 Bath + garage/driveway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</si>
</sst>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>
      <alignment horizontal="center" vertical="center"/>
    </xf>
    <xf numFmtId="0" fontId="6" fillId="4" borderId="0" xfId="2" applyNumberFormat="1" applyFont="1" applyFill="1" applyBorder="1" applyAlignment="1">
      <alignment horizontal="center" vertical="center"/>
    </xf>
    <xf numFmtId="164" fontId="6" fillId="4" borderId="0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4" fontId="1" fillId="4" borderId="0" xfId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44" fontId="0" fillId="3" borderId="0" xfId="1" applyFont="1" applyFill="1" applyBorder="1" applyAlignment="1">
      <alignment horizontal="center" vertical="center"/>
    </xf>
    <xf numFmtId="44" fontId="6" fillId="4" borderId="0" xfId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 wrapText="1"/>
    </xf>
    <xf numFmtId="44" fontId="1" fillId="4" borderId="5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3" borderId="5" xfId="1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7" xfId="2" applyNumberFormat="1" applyFont="1" applyFill="1" applyBorder="1" applyAlignment="1">
      <alignment horizontal="center" vertical="center"/>
    </xf>
    <xf numFmtId="164" fontId="6" fillId="4" borderId="7" xfId="1" applyNumberFormat="1" applyFont="1" applyFill="1" applyBorder="1" applyAlignment="1">
      <alignment horizontal="center" vertical="center"/>
    </xf>
    <xf numFmtId="44" fontId="6" fillId="4" borderId="7" xfId="1" applyFont="1" applyFill="1" applyBorder="1" applyAlignment="1">
      <alignment horizontal="center" vertical="center"/>
    </xf>
    <xf numFmtId="164" fontId="6" fillId="4" borderId="8" xfId="1" applyNumberFormat="1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>
      <alignment horizontal="center" vertical="center" wrapText="1"/>
    </xf>
    <xf numFmtId="164" fontId="6" fillId="4" borderId="0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4"/>
    <xf numFmtId="164" fontId="2" fillId="3" borderId="0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0" xfId="0" applyFill="1"/>
    <xf numFmtId="15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6" fontId="0" fillId="3" borderId="0" xfId="0" applyNumberForma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4" fontId="1" fillId="4" borderId="2" xfId="1" applyFont="1" applyFill="1" applyBorder="1" applyAlignment="1">
      <alignment horizontal="center" vertical="center"/>
    </xf>
    <xf numFmtId="44" fontId="1" fillId="4" borderId="3" xfId="1" applyFont="1" applyFill="1" applyBorder="1" applyAlignment="1">
      <alignment horizontal="center" vertical="center"/>
    </xf>
    <xf numFmtId="164" fontId="0" fillId="3" borderId="5" xfId="1" applyNumberFormat="1" applyFont="1" applyFill="1" applyBorder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 vertical="center" wrapText="1"/>
    </xf>
    <xf numFmtId="164" fontId="6" fillId="4" borderId="8" xfId="1" applyNumberFormat="1" applyFont="1" applyFill="1" applyBorder="1" applyAlignment="1">
      <alignment horizontal="center" vertical="center" wrapText="1"/>
    </xf>
    <xf numFmtId="44" fontId="0" fillId="3" borderId="0" xfId="1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4" fontId="0" fillId="0" borderId="0" xfId="0" applyNumberFormat="1"/>
    <xf numFmtId="44" fontId="6" fillId="4" borderId="0" xfId="1" applyNumberFormat="1" applyFont="1" applyFill="1" applyBorder="1" applyAlignment="1">
      <alignment horizontal="center" vertical="center"/>
    </xf>
    <xf numFmtId="44" fontId="6" fillId="4" borderId="7" xfId="1" applyNumberFormat="1" applyFont="1" applyFill="1" applyBorder="1" applyAlignment="1">
      <alignment horizontal="center" vertical="center"/>
    </xf>
  </cellXfs>
  <cellStyles count="5">
    <cellStyle name="Comma" xfId="2" builtinId="3"/>
    <cellStyle name="Currency" xfId="1" builtinId="4"/>
    <cellStyle name="Hyperlink" xfId="4" builtinId="8"/>
    <cellStyle name="Normal" xfId="0" builtinId="0"/>
    <cellStyle name="Normal 2" xfId="3" xr:uid="{CA4BACFC-7AA7-4957-AF97-CE8AAAC80B3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606656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F0C7F-8D10-4D9B-96C5-41260B6B2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2</xdr:col>
      <xdr:colOff>1064177</xdr:colOff>
      <xdr:row>41</xdr:row>
      <xdr:rowOff>38834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F99F02-C41D-94A0-2632-C481043A5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62875"/>
          <a:ext cx="3953427" cy="5258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219306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16597-50C8-4A41-90E6-DA3C28FF9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mos, Tracy (Avison Young - CA)" refreshedDate="46150.449281712965" createdVersion="8" refreshedVersion="8" minRefreshableVersion="3" recordCount="5" xr:uid="{22075547-CD84-4C10-A5CB-3E6F5F4691B9}">
  <cacheSource type="worksheet">
    <worksheetSource ref="A2:N7" sheet="Glenora Townhomes NM"/>
  </cacheSource>
  <cacheFields count="14">
    <cacheField name="Building Name" numFmtId="0">
      <sharedItems/>
    </cacheField>
    <cacheField name="Unit Configuration" numFmtId="0">
      <sharedItems/>
    </cacheField>
    <cacheField name="Year Built" numFmtId="0">
      <sharedItems containsSemiMixedTypes="0" containsString="0" containsNumber="1" containsInteger="1" minValue="2023" maxValue="2025"/>
    </cacheField>
    <cacheField name="Address" numFmtId="0">
      <sharedItems/>
    </cacheField>
    <cacheField name="Unit Type" numFmtId="0">
      <sharedItems count="4">
        <s v="2 Bedroom/2.5 Bath"/>
        <s v="2 Bedroom/1.5 Bath"/>
        <s v="2 Bedroom/1 Bath"/>
        <s v="2 Bedroom/2 Bath"/>
      </sharedItems>
    </cacheField>
    <cacheField name="Unit SF" numFmtId="0">
      <sharedItems containsSemiMixedTypes="0" containsString="0" containsNumber="1" containsInteger="1" minValue="850" maxValue="1200"/>
    </cacheField>
    <cacheField name="Gross Rental Rate" numFmtId="164">
      <sharedItems containsSemiMixedTypes="0" containsString="0" containsNumber="1" containsInteger="1" minValue="1575" maxValue="2050"/>
    </cacheField>
    <cacheField name="Gross Rent PSF" numFmtId="44">
      <sharedItems containsSemiMixedTypes="0" containsString="0" containsNumber="1" minValue="1.6458333333333333" maxValue="1.8529411764705883"/>
    </cacheField>
    <cacheField name="Incentive" numFmtId="164">
      <sharedItems containsSemiMixedTypes="0" containsString="0" containsNumber="1" minValue="-157.91666666666666" maxValue="0"/>
    </cacheField>
    <cacheField name="Net Rental Rate" numFmtId="164">
      <sharedItems containsSemiMixedTypes="0" containsString="0" containsNumber="1" minValue="1575" maxValue="2050"/>
    </cacheField>
    <cacheField name="Net Rent PSF" numFmtId="44">
      <sharedItems containsSemiMixedTypes="0" containsString="0" containsNumber="1" minValue="1.5413339248742974" maxValue="1.8529411764705883"/>
    </cacheField>
    <cacheField name="Utility Charge" numFmtId="0">
      <sharedItems/>
    </cacheField>
    <cacheField name="Ancillary Revenue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nglewood Townhomes"/>
    <s v="Stacked"/>
    <n v="2025"/>
    <s v="13206 - 112 Avenue NW"/>
    <x v="0"/>
    <n v="1127"/>
    <n v="1895"/>
    <n v="1.681455190771961"/>
    <n v="-157.91666666666666"/>
    <n v="1737.0833333333333"/>
    <n v="1.5413339248742974"/>
    <s v="$295_x000a_Additional $100/occupant_x000a_Does not include power"/>
    <s v="Single Car Garage - $100/month_x000a_Pet - $50/month"/>
    <s v="1 Month Free Rent (amortized over 13-month lease)"/>
  </r>
  <r>
    <s v="Woodcroft Townhomes"/>
    <s v="Stacked"/>
    <n v="2025"/>
    <s v="13516 - 115 Avenue NW"/>
    <x v="1"/>
    <n v="1050"/>
    <n v="1850"/>
    <n v="1.7619047619047619"/>
    <n v="-100"/>
    <n v="1750"/>
    <n v="1.6666666666666667"/>
    <s v="$300                                           Includes all utilities "/>
    <s v="Single Car Garage - $200/month_x000a_Pet - $50/month"/>
    <s v="Rent $1,750 for the first 6 months(incentive), then $1,850 for the remainder of the lease term. Sign an 18 month lease and receive a 65'' TV"/>
  </r>
  <r>
    <s v="North Glenora Townhomes"/>
    <s v="Stacked"/>
    <n v="2023"/>
    <s v="10904 - 139 Street NW"/>
    <x v="2"/>
    <n v="850"/>
    <n v="1575"/>
    <n v="1.8529411764705883"/>
    <n v="0"/>
    <n v="1575"/>
    <n v="1.8529411764705883"/>
    <s v="Tenant responsible for servicing their unit"/>
    <s v="Surface Parking - $60/month_x000a_Pet - $500 nonrefundable deposit"/>
    <m/>
  </r>
  <r>
    <s v="15210 109 Avenue NW"/>
    <s v="Stacked"/>
    <n v="2023"/>
    <s v="15210 - 109 Avenue NW"/>
    <x v="0"/>
    <n v="1200"/>
    <n v="1975"/>
    <n v="1.6458333333333333"/>
    <n v="-41.666666666666664"/>
    <n v="1933.3333333333333"/>
    <n v="1.6111111111111109"/>
    <s v="$300                                           Includes all utilities "/>
    <s v="Pet - $50/month"/>
    <s v="Incentive of $500 giftcard"/>
  </r>
  <r>
    <s v="Sherwood Townhomes"/>
    <s v="Stacked"/>
    <n v="2024"/>
    <s v="15010 - 94 Avenue NW"/>
    <x v="3"/>
    <n v="1200"/>
    <n v="2050"/>
    <n v="1.7083333333333333"/>
    <n v="0"/>
    <n v="2050"/>
    <n v="1.7083333333333333"/>
    <s v="$275                                                    includes all utilities"/>
    <s v="Single Car Garage - $125/month_x000a_Pet - $50/month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69DB6-ADCB-4916-8346-719EE769592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F50" firstHeaderRow="0" firstDataRow="1" firstDataCol="1"/>
  <pivotFields count="14"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ataField="1" numFmtId="164" showAll="0"/>
    <pivotField dataField="1" numFmtId="44" showAll="0"/>
    <pivotField numFmtId="164" showAll="0"/>
    <pivotField dataField="1" numFmtId="164" showAll="0"/>
    <pivotField dataField="1" numFmtId="44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Unit SF" fld="5" subtotal="average" baseField="4" baseItem="0"/>
    <dataField name="Average of Gross Rental Rate" fld="6" subtotal="average" baseField="4" baseItem="0" numFmtId="164"/>
    <dataField name="Average of Gross Rent PSF" fld="7" subtotal="average" baseField="4" baseItem="0" numFmtId="44"/>
    <dataField name="Average of Net Rental Rate" fld="9" subtotal="average" baseField="4" baseItem="0" numFmtId="164"/>
    <dataField name="Average of Net Rent PSF" fld="10" subtotal="average" baseField="4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ntfaster.ca/properties/15010-94-ave-nw-edmonton-732236" TargetMode="External"/><Relationship Id="rId3" Type="http://schemas.openxmlformats.org/officeDocument/2006/relationships/hyperlink" Target="https://livefurnished.ca/edmonton/property/edmonton-unfurnished-townhouse-rental-in-westmount-13204-112-ave/" TargetMode="External"/><Relationship Id="rId7" Type="http://schemas.openxmlformats.org/officeDocument/2006/relationships/hyperlink" Target="https://livefurnished.ca/edmonton/property/edmonton-unfurnished-townhouse-rental-in-west-jasper-place-15010-94-ave-main/" TargetMode="External"/><Relationship Id="rId2" Type="http://schemas.openxmlformats.org/officeDocument/2006/relationships/hyperlink" Target="https://www.rentfaster.ca/properties/13206-112-ave-nw-edmonton-72505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rentfaster.ca/properties/15210-109-avenue-northwest-edmonton-518938" TargetMode="External"/><Relationship Id="rId5" Type="http://schemas.openxmlformats.org/officeDocument/2006/relationships/hyperlink" Target="https://www.rentfaster.ca/properties/10904-139-st-nw-edmonton-729759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rentfaster.ca/properties/13516-115-avenue-nw-edmonton-673160?r=-RSYNC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CD59-C740-418A-8A67-F4CA06B63D1E}">
  <sheetPr>
    <pageSetUpPr fitToPage="1"/>
  </sheetPr>
  <dimension ref="A1:R50"/>
  <sheetViews>
    <sheetView tabSelected="1" zoomScale="70" zoomScaleNormal="70" workbookViewId="0">
      <selection activeCell="I16" sqref="I16"/>
    </sheetView>
  </sheetViews>
  <sheetFormatPr defaultRowHeight="15" x14ac:dyDescent="0.25"/>
  <cols>
    <col min="1" max="1" width="20.28515625" bestFit="1" customWidth="1"/>
    <col min="2" max="2" width="23.140625" customWidth="1"/>
    <col min="3" max="3" width="35.85546875" bestFit="1" customWidth="1"/>
    <col min="4" max="5" width="33.140625" style="1" bestFit="1" customWidth="1"/>
    <col min="6" max="6" width="30.28515625" style="1" bestFit="1" customWidth="1"/>
    <col min="7" max="7" width="24.28515625" style="2" bestFit="1" customWidth="1"/>
    <col min="8" max="8" width="19.7109375" style="2" bestFit="1" customWidth="1"/>
    <col min="9" max="11" width="25.85546875" style="2" customWidth="1"/>
    <col min="12" max="12" width="25.85546875" style="2" bestFit="1" customWidth="1"/>
    <col min="13" max="13" width="42.85546875" style="2" customWidth="1"/>
    <col min="14" max="14" width="58.7109375" style="2" customWidth="1"/>
    <col min="15" max="15" width="28.28515625" customWidth="1"/>
    <col min="16" max="16" width="19.28515625" customWidth="1"/>
    <col min="17" max="17" width="19.85546875" customWidth="1"/>
    <col min="18" max="18" width="21" customWidth="1"/>
    <col min="19" max="19" width="22.28515625" customWidth="1"/>
    <col min="20" max="20" width="12.85546875" customWidth="1"/>
    <col min="21" max="21" width="11.7109375" customWidth="1"/>
    <col min="22" max="22" width="11.85546875" customWidth="1"/>
  </cols>
  <sheetData>
    <row r="1" spans="1:18" ht="87.75" customHeight="1" thickBot="1" x14ac:dyDescent="0.3">
      <c r="A1" s="42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8" ht="36" customHeight="1" x14ac:dyDescent="0.25">
      <c r="A2" s="58" t="s">
        <v>2</v>
      </c>
      <c r="B2" s="59" t="s">
        <v>25</v>
      </c>
      <c r="C2" s="59" t="s">
        <v>4</v>
      </c>
      <c r="D2" s="59" t="s">
        <v>0</v>
      </c>
      <c r="E2" s="59" t="s">
        <v>3</v>
      </c>
      <c r="F2" s="59" t="s">
        <v>45</v>
      </c>
      <c r="G2" s="60" t="s">
        <v>77</v>
      </c>
      <c r="H2" s="59" t="s">
        <v>78</v>
      </c>
      <c r="I2" s="60" t="s">
        <v>75</v>
      </c>
      <c r="J2" s="60" t="s">
        <v>79</v>
      </c>
      <c r="K2" s="60" t="s">
        <v>80</v>
      </c>
      <c r="L2" s="60" t="s">
        <v>31</v>
      </c>
      <c r="M2" s="60" t="s">
        <v>81</v>
      </c>
      <c r="N2" s="61" t="s">
        <v>47</v>
      </c>
      <c r="O2" s="9" t="s">
        <v>76</v>
      </c>
      <c r="P2" s="9" t="s">
        <v>58</v>
      </c>
      <c r="Q2" s="9" t="s">
        <v>48</v>
      </c>
      <c r="R2" s="9" t="s">
        <v>51</v>
      </c>
    </row>
    <row r="3" spans="1:18" ht="61.5" customHeight="1" x14ac:dyDescent="0.25">
      <c r="A3" s="7" t="s">
        <v>18</v>
      </c>
      <c r="B3" s="51" t="s">
        <v>26</v>
      </c>
      <c r="C3" s="51">
        <v>2025</v>
      </c>
      <c r="D3" s="51" t="s">
        <v>19</v>
      </c>
      <c r="E3" s="52" t="s">
        <v>5</v>
      </c>
      <c r="F3" s="53">
        <v>1127</v>
      </c>
      <c r="G3" s="4">
        <v>1895</v>
      </c>
      <c r="H3" s="13">
        <f t="shared" ref="H3:H9" si="0">G3/F3</f>
        <v>1.681455190771961</v>
      </c>
      <c r="I3" s="32">
        <f>-G3/12</f>
        <v>-157.91666666666666</v>
      </c>
      <c r="J3" s="4">
        <f>G3+I3</f>
        <v>1737.0833333333333</v>
      </c>
      <c r="K3" s="65">
        <f>J3/F3</f>
        <v>1.5413339248742974</v>
      </c>
      <c r="L3" s="32" t="s">
        <v>30</v>
      </c>
      <c r="M3" s="32" t="s">
        <v>83</v>
      </c>
      <c r="N3" s="62" t="s">
        <v>46</v>
      </c>
      <c r="O3" s="35"/>
      <c r="P3" t="s">
        <v>67</v>
      </c>
      <c r="Q3" s="36" t="s">
        <v>49</v>
      </c>
      <c r="R3" s="36" t="s">
        <v>50</v>
      </c>
    </row>
    <row r="4" spans="1:18" ht="61.5" customHeight="1" x14ac:dyDescent="0.25">
      <c r="A4" s="7" t="s">
        <v>20</v>
      </c>
      <c r="B4" s="51" t="s">
        <v>26</v>
      </c>
      <c r="C4" s="51">
        <v>2025</v>
      </c>
      <c r="D4" s="51" t="s">
        <v>21</v>
      </c>
      <c r="E4" s="52" t="s">
        <v>7</v>
      </c>
      <c r="F4" s="53">
        <v>1050</v>
      </c>
      <c r="G4" s="37">
        <v>1850</v>
      </c>
      <c r="H4" s="13">
        <f t="shared" si="0"/>
        <v>1.7619047619047619</v>
      </c>
      <c r="I4" s="32">
        <f>-100</f>
        <v>-100</v>
      </c>
      <c r="J4" s="4">
        <f t="shared" ref="J4:J7" si="1">G4+I4</f>
        <v>1750</v>
      </c>
      <c r="K4" s="65">
        <f>J4/F4</f>
        <v>1.6666666666666667</v>
      </c>
      <c r="L4" s="32" t="s">
        <v>53</v>
      </c>
      <c r="M4" s="32" t="s">
        <v>84</v>
      </c>
      <c r="N4" s="62" t="s">
        <v>54</v>
      </c>
      <c r="P4" t="s">
        <v>69</v>
      </c>
      <c r="Q4" s="36" t="s">
        <v>52</v>
      </c>
    </row>
    <row r="5" spans="1:18" ht="61.5" customHeight="1" x14ac:dyDescent="0.25">
      <c r="A5" s="7" t="s">
        <v>16</v>
      </c>
      <c r="B5" s="51" t="s">
        <v>26</v>
      </c>
      <c r="C5" s="51">
        <v>2023</v>
      </c>
      <c r="D5" s="51" t="s">
        <v>17</v>
      </c>
      <c r="E5" s="52" t="s">
        <v>15</v>
      </c>
      <c r="F5" s="53">
        <v>850</v>
      </c>
      <c r="G5" s="4">
        <v>1575</v>
      </c>
      <c r="H5" s="13">
        <f t="shared" si="0"/>
        <v>1.8529411764705883</v>
      </c>
      <c r="I5" s="32">
        <v>0</v>
      </c>
      <c r="J5" s="4">
        <f t="shared" si="1"/>
        <v>1575</v>
      </c>
      <c r="K5" s="65">
        <f>J5/F5</f>
        <v>1.8529411764705883</v>
      </c>
      <c r="L5" s="32" t="s">
        <v>95</v>
      </c>
      <c r="M5" s="32" t="s">
        <v>82</v>
      </c>
      <c r="N5" s="62"/>
      <c r="O5" t="s">
        <v>73</v>
      </c>
      <c r="P5" t="s">
        <v>70</v>
      </c>
      <c r="Q5" s="36" t="s">
        <v>55</v>
      </c>
    </row>
    <row r="6" spans="1:18" ht="61.5" customHeight="1" x14ac:dyDescent="0.25">
      <c r="A6" s="7" t="s">
        <v>56</v>
      </c>
      <c r="B6" s="51" t="s">
        <v>26</v>
      </c>
      <c r="C6" s="51">
        <v>2023</v>
      </c>
      <c r="D6" s="51" t="s">
        <v>61</v>
      </c>
      <c r="E6" s="51" t="s">
        <v>5</v>
      </c>
      <c r="F6" s="51">
        <v>1200</v>
      </c>
      <c r="G6" s="4">
        <v>1975</v>
      </c>
      <c r="H6" s="13">
        <f t="shared" si="0"/>
        <v>1.6458333333333333</v>
      </c>
      <c r="I6" s="32">
        <f>-500/12</f>
        <v>-41.666666666666664</v>
      </c>
      <c r="J6" s="4">
        <f t="shared" si="1"/>
        <v>1933.3333333333333</v>
      </c>
      <c r="K6" s="65">
        <f>J6/F6</f>
        <v>1.6111111111111109</v>
      </c>
      <c r="L6" s="32" t="s">
        <v>53</v>
      </c>
      <c r="M6" s="51" t="s">
        <v>86</v>
      </c>
      <c r="N6" s="66" t="s">
        <v>85</v>
      </c>
      <c r="P6" t="s">
        <v>59</v>
      </c>
      <c r="Q6" s="36" t="s">
        <v>57</v>
      </c>
    </row>
    <row r="7" spans="1:18" ht="61.5" customHeight="1" x14ac:dyDescent="0.25">
      <c r="A7" s="7" t="s">
        <v>68</v>
      </c>
      <c r="B7" s="51" t="s">
        <v>26</v>
      </c>
      <c r="C7" s="51">
        <v>2024</v>
      </c>
      <c r="D7" s="51" t="s">
        <v>60</v>
      </c>
      <c r="E7" s="51" t="s">
        <v>62</v>
      </c>
      <c r="F7" s="51">
        <v>1200</v>
      </c>
      <c r="G7" s="4">
        <v>2050</v>
      </c>
      <c r="H7" s="13">
        <f t="shared" si="0"/>
        <v>1.7083333333333333</v>
      </c>
      <c r="I7" s="32">
        <v>0</v>
      </c>
      <c r="J7" s="4">
        <f t="shared" si="1"/>
        <v>2050</v>
      </c>
      <c r="K7" s="65">
        <f>J7/F7</f>
        <v>1.7083333333333333</v>
      </c>
      <c r="L7" s="51" t="s">
        <v>63</v>
      </c>
      <c r="M7" s="54" t="s">
        <v>87</v>
      </c>
      <c r="N7" s="66"/>
      <c r="O7" s="40" t="s">
        <v>72</v>
      </c>
      <c r="P7" t="s">
        <v>66</v>
      </c>
      <c r="Q7" s="36" t="s">
        <v>65</v>
      </c>
      <c r="R7" s="36" t="s">
        <v>64</v>
      </c>
    </row>
    <row r="8" spans="1:18" ht="49.5" customHeight="1" x14ac:dyDescent="0.25">
      <c r="A8" s="45" t="s">
        <v>9</v>
      </c>
      <c r="B8" s="55" t="s">
        <v>27</v>
      </c>
      <c r="C8" s="56">
        <v>2026</v>
      </c>
      <c r="D8" s="55" t="s">
        <v>10</v>
      </c>
      <c r="E8" s="57" t="s">
        <v>96</v>
      </c>
      <c r="F8" s="5">
        <v>826</v>
      </c>
      <c r="G8" s="6">
        <v>1850</v>
      </c>
      <c r="H8" s="14">
        <f t="shared" si="0"/>
        <v>2.2397094430992737</v>
      </c>
      <c r="I8" s="33">
        <f>-G8/12</f>
        <v>-154.16666666666666</v>
      </c>
      <c r="J8" s="6">
        <f>G8+I8</f>
        <v>1695.8333333333333</v>
      </c>
      <c r="K8" s="72">
        <f>J8/F8</f>
        <v>2.0530669895076672</v>
      </c>
      <c r="L8" s="33"/>
      <c r="M8" s="33"/>
      <c r="N8" s="63" t="s">
        <v>46</v>
      </c>
    </row>
    <row r="9" spans="1:18" ht="49.5" customHeight="1" thickBot="1" x14ac:dyDescent="0.3">
      <c r="A9" s="46"/>
      <c r="B9" s="48"/>
      <c r="C9" s="50"/>
      <c r="D9" s="48"/>
      <c r="E9" s="27" t="s">
        <v>97</v>
      </c>
      <c r="F9" s="28">
        <v>908</v>
      </c>
      <c r="G9" s="29">
        <v>1850</v>
      </c>
      <c r="H9" s="30">
        <f t="shared" si="0"/>
        <v>2.037444933920705</v>
      </c>
      <c r="I9" s="34">
        <f>-G9/12</f>
        <v>-154.16666666666666</v>
      </c>
      <c r="J9" s="29">
        <f>G9+I9</f>
        <v>1695.8333333333333</v>
      </c>
      <c r="K9" s="73">
        <f>J9/F9</f>
        <v>1.8676578560939794</v>
      </c>
      <c r="L9" s="34"/>
      <c r="M9" s="34"/>
      <c r="N9" s="64"/>
    </row>
    <row r="10" spans="1:18" ht="20.100000000000001" customHeight="1" x14ac:dyDescent="0.25">
      <c r="D10"/>
      <c r="E10"/>
      <c r="F10"/>
      <c r="G10"/>
      <c r="H10"/>
      <c r="I10"/>
      <c r="J10"/>
      <c r="K10"/>
      <c r="L10"/>
      <c r="M10"/>
      <c r="N10"/>
    </row>
    <row r="11" spans="1:18" ht="20.100000000000001" customHeight="1" x14ac:dyDescent="0.25">
      <c r="A11" s="39" t="s">
        <v>74</v>
      </c>
      <c r="D11"/>
      <c r="E11"/>
      <c r="F11"/>
      <c r="G11"/>
      <c r="H11"/>
      <c r="I11"/>
      <c r="J11"/>
      <c r="K11"/>
      <c r="L11"/>
      <c r="M11"/>
      <c r="N11"/>
    </row>
    <row r="12" spans="1:18" ht="20.100000000000001" customHeight="1" x14ac:dyDescent="0.25">
      <c r="A12" s="38"/>
      <c r="D12"/>
      <c r="E12"/>
      <c r="F12"/>
      <c r="G12"/>
      <c r="H12"/>
      <c r="I12"/>
      <c r="J12"/>
      <c r="K12"/>
      <c r="L12"/>
      <c r="M12"/>
      <c r="N12"/>
    </row>
    <row r="13" spans="1:18" ht="20.100000000000001" customHeight="1" x14ac:dyDescent="0.25">
      <c r="A13" s="41">
        <v>46146</v>
      </c>
      <c r="D13"/>
      <c r="E13"/>
      <c r="F13"/>
      <c r="G13"/>
      <c r="H13"/>
      <c r="I13"/>
      <c r="J13"/>
      <c r="K13"/>
      <c r="L13"/>
      <c r="M13"/>
      <c r="N13"/>
    </row>
    <row r="14" spans="1:18" ht="20.100000000000001" customHeight="1" x14ac:dyDescent="0.25">
      <c r="D14"/>
      <c r="E14"/>
      <c r="F14"/>
      <c r="G14"/>
      <c r="H14"/>
      <c r="I14"/>
      <c r="J14"/>
      <c r="K14"/>
      <c r="L14"/>
      <c r="M14"/>
      <c r="N14"/>
    </row>
    <row r="15" spans="1:18" ht="20.100000000000001" customHeight="1" x14ac:dyDescent="0.25">
      <c r="D15"/>
      <c r="E15"/>
      <c r="F15"/>
      <c r="G15"/>
      <c r="H15"/>
      <c r="I15"/>
      <c r="J15"/>
      <c r="K15"/>
      <c r="L15"/>
      <c r="M15"/>
      <c r="N15"/>
    </row>
    <row r="16" spans="1:18" ht="20.100000000000001" customHeight="1" x14ac:dyDescent="0.25">
      <c r="A16" t="s">
        <v>71</v>
      </c>
      <c r="D16"/>
      <c r="E16"/>
      <c r="F16"/>
      <c r="G16"/>
      <c r="H16"/>
      <c r="I16"/>
      <c r="J16"/>
      <c r="K16"/>
      <c r="L16"/>
      <c r="M16"/>
      <c r="N16"/>
    </row>
    <row r="17" spans="4:14" ht="20.100000000000001" customHeight="1" x14ac:dyDescent="0.25">
      <c r="D17"/>
      <c r="E17"/>
      <c r="F17"/>
      <c r="G17"/>
      <c r="H17"/>
      <c r="I17"/>
      <c r="J17"/>
      <c r="K17"/>
      <c r="L17"/>
      <c r="M17"/>
      <c r="N17"/>
    </row>
    <row r="18" spans="4:14" ht="20.100000000000001" customHeight="1" x14ac:dyDescent="0.25">
      <c r="D18"/>
      <c r="E18"/>
      <c r="F18"/>
      <c r="G18"/>
      <c r="H18"/>
      <c r="I18"/>
      <c r="J18"/>
      <c r="K18"/>
      <c r="L18"/>
      <c r="M18"/>
      <c r="N18"/>
    </row>
    <row r="19" spans="4:14" ht="20.100000000000001" customHeight="1" x14ac:dyDescent="0.25">
      <c r="D19"/>
      <c r="E19"/>
      <c r="F19"/>
      <c r="G19"/>
      <c r="H19"/>
      <c r="I19"/>
      <c r="J19"/>
      <c r="K19"/>
      <c r="L19"/>
      <c r="M19"/>
      <c r="N19"/>
    </row>
    <row r="20" spans="4:14" ht="20.100000000000001" customHeight="1" x14ac:dyDescent="0.25">
      <c r="D20"/>
      <c r="E20"/>
      <c r="F20"/>
      <c r="G20"/>
      <c r="H20"/>
      <c r="I20"/>
      <c r="J20"/>
      <c r="K20"/>
      <c r="L20"/>
      <c r="M20"/>
      <c r="N20"/>
    </row>
    <row r="21" spans="4:14" ht="20.100000000000001" customHeight="1" x14ac:dyDescent="0.25">
      <c r="D21"/>
      <c r="E21"/>
      <c r="F21"/>
      <c r="G21"/>
      <c r="H21"/>
      <c r="I21"/>
      <c r="J21"/>
      <c r="K21"/>
      <c r="L21"/>
      <c r="M21"/>
      <c r="N21"/>
    </row>
    <row r="22" spans="4:14" ht="20.100000000000001" customHeight="1" x14ac:dyDescent="0.25">
      <c r="D22"/>
      <c r="E22"/>
      <c r="F22"/>
      <c r="G22"/>
      <c r="H22"/>
      <c r="I22"/>
      <c r="J22"/>
      <c r="K22"/>
      <c r="L22"/>
      <c r="M22"/>
      <c r="N22"/>
    </row>
    <row r="23" spans="4:14" ht="20.100000000000001" customHeight="1" x14ac:dyDescent="0.25">
      <c r="D23"/>
      <c r="E23"/>
      <c r="F23"/>
      <c r="G23"/>
      <c r="H23"/>
      <c r="I23"/>
      <c r="J23"/>
      <c r="K23"/>
      <c r="L23"/>
      <c r="M23"/>
      <c r="N23"/>
    </row>
    <row r="24" spans="4:14" ht="20.100000000000001" customHeight="1" x14ac:dyDescent="0.25">
      <c r="D24"/>
      <c r="E24"/>
      <c r="F24"/>
      <c r="G24"/>
      <c r="H24"/>
      <c r="I24"/>
      <c r="J24"/>
      <c r="K24"/>
      <c r="L24"/>
      <c r="M24"/>
      <c r="N24"/>
    </row>
    <row r="25" spans="4:14" x14ac:dyDescent="0.25">
      <c r="D25"/>
      <c r="E25"/>
      <c r="F25"/>
    </row>
    <row r="26" spans="4:14" x14ac:dyDescent="0.25">
      <c r="D26"/>
      <c r="E26"/>
      <c r="F26"/>
    </row>
    <row r="45" spans="1:6" x14ac:dyDescent="0.25">
      <c r="A45" s="67" t="s">
        <v>88</v>
      </c>
      <c r="B45" t="s">
        <v>91</v>
      </c>
      <c r="C45" t="s">
        <v>90</v>
      </c>
      <c r="D45" t="s">
        <v>92</v>
      </c>
      <c r="E45" t="s">
        <v>93</v>
      </c>
      <c r="F45" t="s">
        <v>94</v>
      </c>
    </row>
    <row r="46" spans="1:6" x14ac:dyDescent="0.25">
      <c r="A46" s="68" t="s">
        <v>15</v>
      </c>
      <c r="B46" s="69">
        <v>850</v>
      </c>
      <c r="C46" s="70">
        <v>1575</v>
      </c>
      <c r="D46" s="71">
        <v>1.8529411764705883</v>
      </c>
      <c r="E46" s="70">
        <v>1575</v>
      </c>
      <c r="F46" s="71">
        <v>1.8529411764705883</v>
      </c>
    </row>
    <row r="47" spans="1:6" x14ac:dyDescent="0.25">
      <c r="A47" s="68" t="s">
        <v>7</v>
      </c>
      <c r="B47" s="69">
        <v>1050</v>
      </c>
      <c r="C47" s="70">
        <v>1850</v>
      </c>
      <c r="D47" s="71">
        <v>1.7619047619047619</v>
      </c>
      <c r="E47" s="70">
        <v>1750</v>
      </c>
      <c r="F47" s="71">
        <v>1.6666666666666667</v>
      </c>
    </row>
    <row r="48" spans="1:6" x14ac:dyDescent="0.25">
      <c r="A48" s="68" t="s">
        <v>62</v>
      </c>
      <c r="B48" s="69">
        <v>1200</v>
      </c>
      <c r="C48" s="70">
        <v>2050</v>
      </c>
      <c r="D48" s="71">
        <v>1.7083333333333333</v>
      </c>
      <c r="E48" s="70">
        <v>2050</v>
      </c>
      <c r="F48" s="71">
        <v>1.7083333333333333</v>
      </c>
    </row>
    <row r="49" spans="1:6" x14ac:dyDescent="0.25">
      <c r="A49" s="68" t="s">
        <v>5</v>
      </c>
      <c r="B49" s="69">
        <v>1163.5</v>
      </c>
      <c r="C49" s="70">
        <v>1935</v>
      </c>
      <c r="D49" s="71">
        <v>1.6636442620526473</v>
      </c>
      <c r="E49" s="70">
        <v>1835.2083333333333</v>
      </c>
      <c r="F49" s="71">
        <v>1.5762225179927043</v>
      </c>
    </row>
    <row r="50" spans="1:6" x14ac:dyDescent="0.25">
      <c r="A50" s="68" t="s">
        <v>89</v>
      </c>
      <c r="B50" s="69">
        <v>1085.4000000000001</v>
      </c>
      <c r="C50" s="70">
        <v>1869</v>
      </c>
      <c r="D50" s="71">
        <v>1.7300935591627957</v>
      </c>
      <c r="E50" s="70">
        <v>1809.0833333333333</v>
      </c>
      <c r="F50" s="71">
        <v>1.6760772424911992</v>
      </c>
    </row>
  </sheetData>
  <mergeCells count="6">
    <mergeCell ref="A1:N1"/>
    <mergeCell ref="A8:A9"/>
    <mergeCell ref="B8:B9"/>
    <mergeCell ref="C8:C9"/>
    <mergeCell ref="D8:D9"/>
    <mergeCell ref="N8:N9"/>
  </mergeCells>
  <conditionalFormatting sqref="A1:A45 A63:A1048576">
    <cfRule type="duplicateValues" dxfId="0" priority="1"/>
  </conditionalFormatting>
  <hyperlinks>
    <hyperlink ref="Q3" r:id="rId2" xr:uid="{02D64BE2-9482-4302-99AD-B7C86E4B503E}"/>
    <hyperlink ref="R3" r:id="rId3" xr:uid="{3A89E5A6-F075-4009-8834-F3BB7F0CF96E}"/>
    <hyperlink ref="Q4" r:id="rId4" xr:uid="{0C8130B6-4195-4F9C-987C-5D0F65471B7E}"/>
    <hyperlink ref="Q5" r:id="rId5" xr:uid="{BA77E5FA-399F-42DE-B91C-87A31B33505E}"/>
    <hyperlink ref="Q6" r:id="rId6" xr:uid="{4F7328DF-E23F-411D-BAF1-9F1F145F0D94}"/>
    <hyperlink ref="R7" r:id="rId7" xr:uid="{C3912124-8870-41B7-BD57-8465D9256375}"/>
    <hyperlink ref="Q7" r:id="rId8" xr:uid="{ACA2CCAA-867F-41CD-B81F-A60FF303E126}"/>
  </hyperlinks>
  <pageMargins left="0.7" right="0.7" top="0.75" bottom="0.75" header="0.3" footer="0.3"/>
  <pageSetup scale="61"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721C-DE4C-4123-A3DD-B353756FCCC0}">
  <sheetPr>
    <pageSetUpPr fitToPage="1"/>
  </sheetPr>
  <dimension ref="A1:L27"/>
  <sheetViews>
    <sheetView zoomScaleNormal="100" workbookViewId="0">
      <selection activeCell="A3" sqref="A3:A8"/>
    </sheetView>
  </sheetViews>
  <sheetFormatPr defaultRowHeight="15" x14ac:dyDescent="0.25"/>
  <cols>
    <col min="1" max="2" width="26" customWidth="1"/>
    <col min="3" max="3" width="14.85546875" customWidth="1"/>
    <col min="4" max="4" width="24.140625" style="1" customWidth="1"/>
    <col min="5" max="5" width="40.140625" style="1" bestFit="1" customWidth="1"/>
    <col min="6" max="6" width="7.28515625" style="1" bestFit="1" customWidth="1"/>
    <col min="7" max="7" width="17.42578125" style="2" bestFit="1" customWidth="1"/>
    <col min="8" max="8" width="14.28515625" style="2" customWidth="1"/>
    <col min="9" max="9" width="19" style="2" customWidth="1"/>
    <col min="10" max="10" width="29.28515625" style="2" customWidth="1"/>
    <col min="11" max="11" width="11.5703125" style="2" bestFit="1" customWidth="1"/>
    <col min="12" max="12" width="14.5703125" style="1" bestFit="1" customWidth="1"/>
    <col min="13" max="13" width="9.140625" customWidth="1"/>
    <col min="14" max="14" width="19.85546875" customWidth="1"/>
    <col min="15" max="15" width="21" customWidth="1"/>
    <col min="16" max="16" width="22.28515625" customWidth="1"/>
    <col min="17" max="17" width="12.85546875" customWidth="1"/>
    <col min="18" max="18" width="11.7109375" customWidth="1"/>
    <col min="19" max="19" width="11.85546875" customWidth="1"/>
  </cols>
  <sheetData>
    <row r="1" spans="1:12" ht="87.75" customHeight="1" x14ac:dyDescent="0.25">
      <c r="A1" s="42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36" customHeight="1" x14ac:dyDescent="0.25">
      <c r="A2" s="10" t="s">
        <v>2</v>
      </c>
      <c r="B2" s="11" t="s">
        <v>25</v>
      </c>
      <c r="C2" s="11" t="s">
        <v>4</v>
      </c>
      <c r="D2" s="11" t="s">
        <v>0</v>
      </c>
      <c r="E2" s="11" t="s">
        <v>3</v>
      </c>
      <c r="F2" s="11" t="s">
        <v>45</v>
      </c>
      <c r="G2" s="9" t="s">
        <v>44</v>
      </c>
      <c r="H2" s="11" t="s">
        <v>1</v>
      </c>
      <c r="I2" s="9" t="s">
        <v>32</v>
      </c>
      <c r="J2" s="9" t="s">
        <v>31</v>
      </c>
      <c r="K2" s="9" t="s">
        <v>43</v>
      </c>
      <c r="L2" s="16" t="s">
        <v>23</v>
      </c>
    </row>
    <row r="3" spans="1:12" ht="50.1" customHeight="1" x14ac:dyDescent="0.25">
      <c r="A3" s="8" t="s">
        <v>11</v>
      </c>
      <c r="B3" s="17" t="s">
        <v>26</v>
      </c>
      <c r="C3" s="17">
        <v>2025</v>
      </c>
      <c r="D3" s="17" t="s">
        <v>12</v>
      </c>
      <c r="E3" s="18" t="s">
        <v>5</v>
      </c>
      <c r="F3" s="19">
        <v>1225</v>
      </c>
      <c r="G3" s="3">
        <v>2050</v>
      </c>
      <c r="H3" s="12">
        <f t="shared" ref="H3:H10" si="0">G3/F3</f>
        <v>1.6734693877551021</v>
      </c>
      <c r="I3" s="15" t="s">
        <v>24</v>
      </c>
      <c r="J3" s="15" t="s">
        <v>29</v>
      </c>
      <c r="K3" s="15"/>
      <c r="L3" s="20">
        <f>G3+125+300</f>
        <v>2475</v>
      </c>
    </row>
    <row r="4" spans="1:12" ht="50.1" customHeight="1" x14ac:dyDescent="0.25">
      <c r="A4" s="7" t="s">
        <v>18</v>
      </c>
      <c r="B4" s="21" t="s">
        <v>26</v>
      </c>
      <c r="C4" s="21">
        <v>2025</v>
      </c>
      <c r="D4" s="21" t="s">
        <v>19</v>
      </c>
      <c r="E4" s="22" t="s">
        <v>5</v>
      </c>
      <c r="F4" s="23">
        <v>1127</v>
      </c>
      <c r="G4" s="4">
        <v>1895</v>
      </c>
      <c r="H4" s="13">
        <f t="shared" si="0"/>
        <v>1.681455190771961</v>
      </c>
      <c r="I4" s="32" t="s">
        <v>28</v>
      </c>
      <c r="J4" s="32" t="s">
        <v>30</v>
      </c>
      <c r="K4" s="32"/>
      <c r="L4" s="24">
        <f>G4+125+195</f>
        <v>2215</v>
      </c>
    </row>
    <row r="5" spans="1:12" ht="50.1" customHeight="1" x14ac:dyDescent="0.25">
      <c r="A5" s="8" t="s">
        <v>22</v>
      </c>
      <c r="B5" s="17" t="s">
        <v>26</v>
      </c>
      <c r="C5" s="17">
        <v>2024</v>
      </c>
      <c r="D5" s="17" t="s">
        <v>6</v>
      </c>
      <c r="E5" s="18" t="s">
        <v>5</v>
      </c>
      <c r="F5" s="19">
        <v>1100</v>
      </c>
      <c r="G5" s="3">
        <v>2095</v>
      </c>
      <c r="H5" s="12">
        <f t="shared" si="0"/>
        <v>1.9045454545454545</v>
      </c>
      <c r="I5" s="15" t="s">
        <v>24</v>
      </c>
      <c r="J5" s="15" t="s">
        <v>35</v>
      </c>
      <c r="K5" s="15"/>
      <c r="L5" s="20">
        <f>G5+125</f>
        <v>2220</v>
      </c>
    </row>
    <row r="6" spans="1:12" ht="50.1" customHeight="1" x14ac:dyDescent="0.25">
      <c r="A6" s="7" t="s">
        <v>20</v>
      </c>
      <c r="B6" s="21" t="s">
        <v>26</v>
      </c>
      <c r="C6" s="21">
        <v>2025</v>
      </c>
      <c r="D6" s="21" t="s">
        <v>21</v>
      </c>
      <c r="E6" s="22" t="s">
        <v>7</v>
      </c>
      <c r="F6" s="23">
        <v>1050</v>
      </c>
      <c r="G6" s="4">
        <v>1995</v>
      </c>
      <c r="H6" s="13">
        <f t="shared" si="0"/>
        <v>1.9</v>
      </c>
      <c r="I6" s="32" t="s">
        <v>33</v>
      </c>
      <c r="J6" s="32" t="s">
        <v>34</v>
      </c>
      <c r="K6" s="32"/>
      <c r="L6" s="24">
        <f>G6+200+275</f>
        <v>2470</v>
      </c>
    </row>
    <row r="7" spans="1:12" ht="50.1" customHeight="1" x14ac:dyDescent="0.25">
      <c r="A7" s="8" t="s">
        <v>13</v>
      </c>
      <c r="B7" s="17" t="s">
        <v>26</v>
      </c>
      <c r="C7" s="17">
        <v>2025</v>
      </c>
      <c r="D7" s="17" t="s">
        <v>14</v>
      </c>
      <c r="E7" s="18" t="s">
        <v>15</v>
      </c>
      <c r="F7" s="19">
        <v>1100</v>
      </c>
      <c r="G7" s="3">
        <v>1875</v>
      </c>
      <c r="H7" s="12">
        <f t="shared" si="0"/>
        <v>1.7045454545454546</v>
      </c>
      <c r="I7" s="15" t="s">
        <v>37</v>
      </c>
      <c r="J7" s="15" t="s">
        <v>36</v>
      </c>
      <c r="K7" s="15"/>
      <c r="L7" s="20">
        <f>G7+400</f>
        <v>2275</v>
      </c>
    </row>
    <row r="8" spans="1:12" ht="50.1" customHeight="1" x14ac:dyDescent="0.25">
      <c r="A8" s="7" t="s">
        <v>16</v>
      </c>
      <c r="B8" s="21" t="s">
        <v>26</v>
      </c>
      <c r="C8" s="21">
        <v>2025</v>
      </c>
      <c r="D8" s="21" t="s">
        <v>17</v>
      </c>
      <c r="E8" s="22" t="s">
        <v>15</v>
      </c>
      <c r="F8" s="23">
        <v>1212</v>
      </c>
      <c r="G8" s="4">
        <v>1950</v>
      </c>
      <c r="H8" s="13">
        <f t="shared" si="0"/>
        <v>1.608910891089109</v>
      </c>
      <c r="I8" s="32" t="s">
        <v>38</v>
      </c>
      <c r="J8" s="32" t="s">
        <v>40</v>
      </c>
      <c r="K8" s="32"/>
      <c r="L8" s="24">
        <f>G8+60+295</f>
        <v>2305</v>
      </c>
    </row>
    <row r="9" spans="1:12" ht="27" customHeight="1" x14ac:dyDescent="0.25">
      <c r="A9" s="45" t="s">
        <v>9</v>
      </c>
      <c r="B9" s="47" t="s">
        <v>27</v>
      </c>
      <c r="C9" s="49">
        <v>2026</v>
      </c>
      <c r="D9" s="47" t="s">
        <v>10</v>
      </c>
      <c r="E9" s="25" t="s">
        <v>41</v>
      </c>
      <c r="F9" s="5">
        <v>826</v>
      </c>
      <c r="G9" s="6">
        <v>2050</v>
      </c>
      <c r="H9" s="14">
        <f t="shared" si="0"/>
        <v>2.4818401937046004</v>
      </c>
      <c r="I9" s="33">
        <v>0</v>
      </c>
      <c r="J9" s="33" t="s">
        <v>39</v>
      </c>
      <c r="K9" s="33"/>
      <c r="L9" s="26">
        <f>G9+375</f>
        <v>2425</v>
      </c>
    </row>
    <row r="10" spans="1:12" ht="27" customHeight="1" thickBot="1" x14ac:dyDescent="0.3">
      <c r="A10" s="46"/>
      <c r="B10" s="48"/>
      <c r="C10" s="50"/>
      <c r="D10" s="48"/>
      <c r="E10" s="27" t="s">
        <v>42</v>
      </c>
      <c r="F10" s="28">
        <v>908</v>
      </c>
      <c r="G10" s="29">
        <v>1950</v>
      </c>
      <c r="H10" s="30">
        <f t="shared" si="0"/>
        <v>2.1475770925110131</v>
      </c>
      <c r="I10" s="34" t="s">
        <v>24</v>
      </c>
      <c r="J10" s="34" t="s">
        <v>39</v>
      </c>
      <c r="K10" s="34"/>
      <c r="L10" s="31">
        <f>1950+125+375</f>
        <v>2450</v>
      </c>
    </row>
    <row r="11" spans="1:12" ht="20.100000000000001" customHeight="1" x14ac:dyDescent="0.25">
      <c r="D11"/>
      <c r="E11"/>
      <c r="F11"/>
      <c r="G11"/>
      <c r="H11"/>
      <c r="I11"/>
      <c r="J11"/>
      <c r="K11"/>
      <c r="L11"/>
    </row>
    <row r="12" spans="1:12" ht="20.100000000000001" customHeight="1" x14ac:dyDescent="0.25">
      <c r="D12"/>
      <c r="E12"/>
      <c r="F12"/>
      <c r="G12"/>
      <c r="H12"/>
      <c r="I12"/>
      <c r="J12"/>
      <c r="K12"/>
      <c r="L12"/>
    </row>
    <row r="13" spans="1:12" ht="20.100000000000001" customHeight="1" x14ac:dyDescent="0.25">
      <c r="D13"/>
      <c r="E13"/>
      <c r="F13"/>
      <c r="G13"/>
      <c r="H13"/>
      <c r="I13"/>
      <c r="J13"/>
      <c r="K13"/>
      <c r="L13"/>
    </row>
    <row r="14" spans="1:12" ht="20.100000000000001" customHeight="1" x14ac:dyDescent="0.25">
      <c r="D14"/>
      <c r="E14"/>
      <c r="F14"/>
      <c r="G14"/>
      <c r="H14"/>
      <c r="I14"/>
      <c r="J14"/>
      <c r="K14"/>
      <c r="L14"/>
    </row>
    <row r="15" spans="1:12" ht="20.100000000000001" customHeight="1" x14ac:dyDescent="0.25">
      <c r="D15"/>
      <c r="E15"/>
      <c r="F15"/>
      <c r="G15"/>
      <c r="H15"/>
      <c r="I15"/>
      <c r="J15"/>
      <c r="K15"/>
      <c r="L15"/>
    </row>
    <row r="16" spans="1:12" ht="20.100000000000001" customHeight="1" x14ac:dyDescent="0.25">
      <c r="D16"/>
      <c r="E16"/>
      <c r="F16"/>
      <c r="G16"/>
      <c r="H16"/>
      <c r="I16"/>
      <c r="J16"/>
      <c r="K16"/>
      <c r="L16"/>
    </row>
    <row r="17" spans="4:12" ht="20.100000000000001" customHeight="1" x14ac:dyDescent="0.25">
      <c r="D17"/>
      <c r="E17"/>
      <c r="F17"/>
      <c r="G17"/>
      <c r="H17"/>
      <c r="I17"/>
      <c r="J17"/>
      <c r="K17"/>
      <c r="L17"/>
    </row>
    <row r="18" spans="4:12" ht="20.100000000000001" customHeight="1" x14ac:dyDescent="0.25">
      <c r="D18"/>
      <c r="E18"/>
      <c r="F18"/>
      <c r="G18"/>
      <c r="H18"/>
      <c r="I18"/>
      <c r="J18"/>
      <c r="K18"/>
      <c r="L18"/>
    </row>
    <row r="19" spans="4:12" ht="20.100000000000001" customHeight="1" x14ac:dyDescent="0.25">
      <c r="D19"/>
      <c r="E19"/>
      <c r="F19"/>
      <c r="G19"/>
      <c r="H19"/>
      <c r="I19"/>
      <c r="J19"/>
      <c r="K19"/>
      <c r="L19"/>
    </row>
    <row r="20" spans="4:12" ht="20.100000000000001" customHeight="1" x14ac:dyDescent="0.25">
      <c r="D20"/>
      <c r="E20"/>
      <c r="F20"/>
      <c r="G20"/>
      <c r="H20"/>
      <c r="I20"/>
      <c r="J20"/>
      <c r="K20"/>
      <c r="L20"/>
    </row>
    <row r="21" spans="4:12" ht="20.100000000000001" customHeight="1" x14ac:dyDescent="0.25">
      <c r="D21"/>
      <c r="E21"/>
      <c r="F21"/>
      <c r="G21"/>
      <c r="H21"/>
      <c r="I21"/>
      <c r="J21"/>
      <c r="K21"/>
      <c r="L21"/>
    </row>
    <row r="22" spans="4:12" ht="20.100000000000001" customHeight="1" x14ac:dyDescent="0.25">
      <c r="D22"/>
      <c r="E22"/>
      <c r="F22"/>
      <c r="G22"/>
      <c r="H22"/>
      <c r="I22"/>
      <c r="J22"/>
      <c r="K22"/>
      <c r="L22"/>
    </row>
    <row r="23" spans="4:12" ht="20.100000000000001" customHeight="1" x14ac:dyDescent="0.25">
      <c r="D23"/>
      <c r="E23"/>
      <c r="F23"/>
      <c r="G23"/>
      <c r="H23"/>
      <c r="I23"/>
      <c r="J23"/>
      <c r="K23"/>
      <c r="L23"/>
    </row>
    <row r="24" spans="4:12" ht="20.100000000000001" customHeight="1" x14ac:dyDescent="0.25">
      <c r="D24"/>
      <c r="E24"/>
      <c r="F24"/>
      <c r="G24"/>
      <c r="H24"/>
      <c r="I24"/>
      <c r="J24"/>
      <c r="K24"/>
      <c r="L24"/>
    </row>
    <row r="25" spans="4:12" ht="20.100000000000001" customHeight="1" x14ac:dyDescent="0.25">
      <c r="D25"/>
      <c r="E25"/>
      <c r="F25"/>
      <c r="G25"/>
      <c r="H25"/>
      <c r="I25"/>
      <c r="J25"/>
      <c r="K25"/>
      <c r="L25"/>
    </row>
    <row r="26" spans="4:12" x14ac:dyDescent="0.25">
      <c r="D26"/>
      <c r="E26"/>
      <c r="F26"/>
    </row>
    <row r="27" spans="4:12" x14ac:dyDescent="0.25">
      <c r="D27"/>
      <c r="E27"/>
      <c r="F27"/>
    </row>
  </sheetData>
  <mergeCells count="5">
    <mergeCell ref="A9:A10"/>
    <mergeCell ref="D9:D10"/>
    <mergeCell ref="C9:C10"/>
    <mergeCell ref="A1:L1"/>
    <mergeCell ref="B9:B10"/>
  </mergeCells>
  <pageMargins left="0.7" right="0.7" top="0.75" bottom="0.75" header="0.3" footer="0.3"/>
  <pageSetup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Glenora Townhomes NM</vt:lpstr>
      <vt:lpstr>Glenora Townhomes (19 units)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 Lee</dc:creator>
  <cp:lastModifiedBy>Tracy Olmos</cp:lastModifiedBy>
  <cp:lastPrinted>2024-02-28T22:29:00Z</cp:lastPrinted>
  <dcterms:created xsi:type="dcterms:W3CDTF">2020-02-17T16:29:06Z</dcterms:created>
  <dcterms:modified xsi:type="dcterms:W3CDTF">2026-05-08T16:47:39Z</dcterms:modified>
</cp:coreProperties>
</file>