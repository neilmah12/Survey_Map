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349290745039/WOPIServiceId_TP_BOX_2/WOPIUserId_-/"/>
    </mc:Choice>
  </mc:AlternateContent>
  <xr:revisionPtr revIDLastSave="314" documentId="13_ncr:1_{B7CA6B0D-751B-4AEF-80AF-E9490F249A87}" xr6:coauthVersionLast="47" xr6:coauthVersionMax="47" xr10:uidLastSave="{78E8B82C-2DAE-4098-BFFE-93A037B8E493}"/>
  <bookViews>
    <workbookView xWindow="40635" yWindow="60" windowWidth="31170" windowHeight="20820" activeTab="2" xr2:uid="{BD2D5A79-6EBD-4E61-BF00-96C9FF1EFEB2}"/>
  </bookViews>
  <sheets>
    <sheet name="Castle Harbour RMS Aug update" sheetId="5" r:id="rId1"/>
    <sheet name="Castle Harbour RMS Aug comparis" sheetId="3" r:id="rId2"/>
    <sheet name="Castle Harbour RMS - July" sheetId="2" r:id="rId3"/>
  </sheets>
  <calcPr calcId="191029"/>
  <pivotCaches>
    <pivotCache cacheId="1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3" i="2"/>
  <c r="F13" i="2"/>
  <c r="H14" i="5"/>
  <c r="I14" i="5" s="1"/>
  <c r="F14" i="5"/>
  <c r="H13" i="5"/>
  <c r="I13" i="5" s="1"/>
  <c r="F13" i="5"/>
  <c r="H12" i="5"/>
  <c r="I12" i="5" s="1"/>
  <c r="F12" i="5"/>
  <c r="F11" i="5"/>
  <c r="H10" i="5"/>
  <c r="I10" i="5" s="1"/>
  <c r="F10" i="5"/>
  <c r="H9" i="5"/>
  <c r="I9" i="5" s="1"/>
  <c r="H8" i="5"/>
  <c r="I8" i="5" s="1"/>
  <c r="F8" i="5"/>
  <c r="F7" i="5"/>
  <c r="H6" i="5"/>
  <c r="I6" i="5" s="1"/>
  <c r="F6" i="5"/>
  <c r="H5" i="5"/>
  <c r="I5" i="5" s="1"/>
  <c r="F5" i="5"/>
  <c r="H4" i="5"/>
  <c r="I4" i="5" s="1"/>
  <c r="H3" i="5"/>
  <c r="I3" i="5" s="1"/>
  <c r="F3" i="5"/>
  <c r="F10" i="3"/>
  <c r="H14" i="3"/>
  <c r="I14" i="3" s="1"/>
  <c r="F14" i="3"/>
  <c r="H13" i="3"/>
  <c r="I13" i="3" s="1"/>
  <c r="F13" i="3"/>
  <c r="H12" i="3"/>
  <c r="I12" i="3" s="1"/>
  <c r="F12" i="3"/>
  <c r="H10" i="3"/>
  <c r="I10" i="3" s="1"/>
  <c r="F11" i="3"/>
  <c r="H9" i="3"/>
  <c r="I9" i="3" s="1"/>
  <c r="H8" i="3"/>
  <c r="I8" i="3" s="1"/>
  <c r="F8" i="3"/>
  <c r="F7" i="3"/>
  <c r="H6" i="3"/>
  <c r="I6" i="3" s="1"/>
  <c r="F6" i="3"/>
  <c r="H5" i="3"/>
  <c r="I5" i="3" s="1"/>
  <c r="F5" i="3"/>
  <c r="H4" i="3"/>
  <c r="I4" i="3" s="1"/>
  <c r="H3" i="3"/>
  <c r="I3" i="3" s="1"/>
  <c r="F3" i="3"/>
  <c r="F7" i="2"/>
  <c r="F8" i="2"/>
  <c r="F16" i="2"/>
  <c r="F17" i="2"/>
  <c r="F15" i="2"/>
  <c r="H7" i="2"/>
  <c r="I7" i="2" s="1"/>
  <c r="H6" i="2"/>
  <c r="I6" i="2" s="1"/>
  <c r="H5" i="2"/>
  <c r="I5" i="2" s="1"/>
  <c r="H14" i="2"/>
  <c r="I14" i="2" s="1"/>
  <c r="H11" i="2"/>
  <c r="I11" i="2" s="1"/>
  <c r="H10" i="2"/>
  <c r="I10" i="2" s="1"/>
  <c r="H9" i="2"/>
  <c r="I9" i="2" s="1"/>
  <c r="H4" i="2"/>
  <c r="I4" i="2" s="1"/>
  <c r="H3" i="2"/>
  <c r="I3" i="2" s="1"/>
  <c r="R23" i="5"/>
  <c r="S23" i="5"/>
  <c r="S24" i="5"/>
  <c r="R24" i="5"/>
  <c r="F5" i="2" l="1"/>
  <c r="F6" i="2"/>
  <c r="F9" i="2"/>
  <c r="F11" i="2"/>
  <c r="H17" i="2"/>
  <c r="I17" i="2" s="1"/>
  <c r="H16" i="2"/>
  <c r="I16" i="2" s="1"/>
  <c r="H15" i="2"/>
  <c r="I15" i="2" s="1"/>
</calcChain>
</file>

<file path=xl/sharedStrings.xml><?xml version="1.0" encoding="utf-8"?>
<sst xmlns="http://schemas.openxmlformats.org/spreadsheetml/2006/main" count="237" uniqueCount="76">
  <si>
    <t>Building Name</t>
  </si>
  <si>
    <t>Address</t>
  </si>
  <si>
    <t>Unit Type</t>
  </si>
  <si>
    <t>SF</t>
  </si>
  <si>
    <t>Rental Rate</t>
  </si>
  <si>
    <t>Rent PSF</t>
  </si>
  <si>
    <t>Parking Charge</t>
  </si>
  <si>
    <t>Net Rental rate</t>
  </si>
  <si>
    <t>$125
Underground Parking</t>
  </si>
  <si>
    <t>Incentives</t>
  </si>
  <si>
    <t>1 free month rent</t>
  </si>
  <si>
    <t>1 month free rent, 500 move in bonus</t>
  </si>
  <si>
    <t>2 months free rent on 15 month lease</t>
  </si>
  <si>
    <t>2 months free rent on 14 month lease, 3 months free parking</t>
  </si>
  <si>
    <t>1 month free on 14 month lease (1 bedroom only), 1 week early move in</t>
  </si>
  <si>
    <t>1 week early move in</t>
  </si>
  <si>
    <t>Net Rent Psf</t>
  </si>
  <si>
    <t>$225 underground</t>
  </si>
  <si>
    <t>$100 underground</t>
  </si>
  <si>
    <t>$175 underground</t>
  </si>
  <si>
    <t>$170 underground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</si>
  <si>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Castle Harbour
Edmonton, AB</t>
    </r>
  </si>
  <si>
    <t>Castle Harbour</t>
  </si>
  <si>
    <t>Bachelor</t>
  </si>
  <si>
    <t>1 Bed/1 Bath</t>
  </si>
  <si>
    <t>2 Bed/1 Bath</t>
  </si>
  <si>
    <t>10403 158 Avenue NW</t>
  </si>
  <si>
    <t>Beau Mills Apartments</t>
  </si>
  <si>
    <t>15805 Beaumaris Road</t>
  </si>
  <si>
    <t>Link</t>
  </si>
  <si>
    <t>https://www.rentfaster.ca/properties/15805-beaumaris-road-edmonton-461499?-RSYNC</t>
  </si>
  <si>
    <t>16425 109 Street NW</t>
  </si>
  <si>
    <t>Hampton Court</t>
  </si>
  <si>
    <t>16404 115 Street NW</t>
  </si>
  <si>
    <t>Warwick Apartments</t>
  </si>
  <si>
    <t>https://www.rentfaster.ca/properties/12004-162-ave-nw-edmonton-288678?-RSYNC</t>
  </si>
  <si>
    <t>12004 162 Avenue NW</t>
  </si>
  <si>
    <t>https://www.rentfaster.ca/properties/16404-115-street-nw-edmonton-289370?-RSYNC</t>
  </si>
  <si>
    <t>https://www.rentfaster.ca/properties/16425-109th-street-nw-edmonton-475089?-RSYNC</t>
  </si>
  <si>
    <t>Meadow Mews</t>
  </si>
  <si>
    <t>12048 161 Avenue NW</t>
  </si>
  <si>
    <t>https://www.rentfaster.ca/properties/12408-161-avenue-nw-edmonton-757246?-RSYNC</t>
  </si>
  <si>
    <t>Row Labels</t>
  </si>
  <si>
    <t>Grand Total</t>
  </si>
  <si>
    <t>Average of SF</t>
  </si>
  <si>
    <t>Average of Rental Rate</t>
  </si>
  <si>
    <t>Average of Rent PSF</t>
  </si>
  <si>
    <t>1.5 months free rent</t>
  </si>
  <si>
    <t>1 month free rent</t>
  </si>
  <si>
    <t>Note: CH rents taken from proforma</t>
  </si>
  <si>
    <t>Aug incentives</t>
  </si>
  <si>
    <t>0.5 months free rent</t>
  </si>
  <si>
    <t>$499 security deposit</t>
  </si>
  <si>
    <t>Notes</t>
  </si>
  <si>
    <t>Incentive decreased, rent the same</t>
  </si>
  <si>
    <t>Two bed got leased, rent increased by $58 on 1 bedroom</t>
  </si>
  <si>
    <t>Not changed</t>
  </si>
  <si>
    <t>rent increased by $30</t>
  </si>
  <si>
    <t>1 bed now available</t>
  </si>
  <si>
    <t>2 bed rent went up by $183</t>
  </si>
  <si>
    <t>nn</t>
  </si>
  <si>
    <t>August RMS refresh</t>
  </si>
  <si>
    <t>July RMS</t>
  </si>
  <si>
    <t>1 bed</t>
  </si>
  <si>
    <t>2 bed</t>
  </si>
  <si>
    <t>Avg rent</t>
  </si>
  <si>
    <t>Psf</t>
  </si>
  <si>
    <t>Note - some suites available or not available that were before, but notes from comparison point to rents increasing and incentives reducing</t>
  </si>
  <si>
    <t>Meadowside Estates</t>
  </si>
  <si>
    <t>11919 - 162 Avenue NW</t>
  </si>
  <si>
    <t>Palisades Manor</t>
  </si>
  <si>
    <t>16425 - 109 Street NW</t>
  </si>
  <si>
    <t>16404 - 115 Street NW</t>
  </si>
  <si>
    <t>12004 - 162 Avenue NW</t>
  </si>
  <si>
    <t>12048 - 161 Avenue NW</t>
  </si>
  <si>
    <t>10403 - 158 Avenue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</si>
</sst>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&quot;$&quot;#,##0.00"/>
    <numFmt numFmtId="166" formatCode="&quot;$&quot;#,##0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2" applyFont="1" applyFill="1" applyBorder="1" applyAlignment="1">
      <alignment horizontal="center" vertical="center"/>
    </xf>
    <xf numFmtId="44" fontId="2" fillId="2" borderId="5" xfId="2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0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4" fontId="0" fillId="4" borderId="0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164" fontId="3" fillId="2" borderId="6" xfId="2" applyNumberFormat="1" applyFont="1" applyFill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4" borderId="5" xfId="2" applyFont="1" applyFill="1" applyBorder="1" applyAlignment="1">
      <alignment horizontal="center" vertical="center"/>
    </xf>
    <xf numFmtId="44" fontId="0" fillId="3" borderId="5" xfId="2" applyFont="1" applyFill="1" applyBorder="1" applyAlignment="1">
      <alignment horizontal="center" vertical="center"/>
    </xf>
    <xf numFmtId="44" fontId="0" fillId="0" borderId="0" xfId="0" applyNumberFormat="1"/>
    <xf numFmtId="0" fontId="0" fillId="3" borderId="0" xfId="0" applyFill="1"/>
    <xf numFmtId="165" fontId="3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2" borderId="5" xfId="2" applyNumberFormat="1" applyFont="1" applyFill="1" applyBorder="1" applyAlignment="1">
      <alignment horizontal="center" vertical="center"/>
    </xf>
    <xf numFmtId="166" fontId="3" fillId="2" borderId="7" xfId="2" applyNumberFormat="1" applyFont="1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6" fillId="0" borderId="0" xfId="3"/>
    <xf numFmtId="1" fontId="0" fillId="4" borderId="0" xfId="0" applyNumberFormat="1" applyFill="1" applyAlignment="1">
      <alignment vertical="center"/>
    </xf>
    <xf numFmtId="164" fontId="0" fillId="4" borderId="0" xfId="2" applyNumberFormat="1" applyFont="1" applyFill="1" applyBorder="1" applyAlignment="1"/>
    <xf numFmtId="44" fontId="0" fillId="4" borderId="5" xfId="2" applyFont="1" applyFill="1" applyBorder="1" applyAlignment="1"/>
    <xf numFmtId="6" fontId="0" fillId="0" borderId="0" xfId="2" applyNumberFormat="1" applyFont="1" applyAlignment="1"/>
    <xf numFmtId="8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0" fillId="4" borderId="0" xfId="2" applyNumberFormat="1" applyFont="1" applyFill="1" applyBorder="1" applyAlignment="1">
      <alignment horizontal="center"/>
    </xf>
    <xf numFmtId="44" fontId="0" fillId="4" borderId="5" xfId="2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4" fontId="0" fillId="4" borderId="0" xfId="2" applyNumberFormat="1" applyFont="1" applyFill="1" applyBorder="1" applyAlignment="1">
      <alignment horizontal="center" vertical="center"/>
    </xf>
    <xf numFmtId="44" fontId="0" fillId="4" borderId="5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0" xfId="2" applyNumberFormat="1" applyFont="1" applyFill="1" applyBorder="1" applyAlignment="1">
      <alignment horizontal="center" vertical="center"/>
    </xf>
    <xf numFmtId="44" fontId="0" fillId="3" borderId="5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44" fontId="3" fillId="2" borderId="5" xfId="2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4" fontId="3" fillId="2" borderId="7" xfId="2" applyFont="1" applyFill="1" applyBorder="1" applyAlignment="1">
      <alignment horizontal="center" vertical="center"/>
    </xf>
    <xf numFmtId="0" fontId="0" fillId="0" borderId="0" xfId="0" applyNumberForma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49"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1" formatCode="0"/>
    </dxf>
    <dxf>
      <numFmt numFmtId="34" formatCode="_-&quot;$&quot;* #,##0.00_-;\-&quot;$&quot;* #,##0.00_-;_-&quot;$&quot;* &quot;-&quot;??_-;_-@_-"/>
    </dxf>
    <dxf>
      <numFmt numFmtId="2" formatCode="0.00"/>
    </dxf>
    <dxf>
      <numFmt numFmtId="1" formatCode="0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164" formatCode="_-&quot;$&quot;* #,##0_-;\-&quot;$&quot;* #,##0_-;_-&quot;$&quot;* &quot;-&quot;??_-;_-@_-"/>
    </dxf>
    <dxf>
      <numFmt numFmtId="1" formatCode="0"/>
    </dxf>
    <dxf>
      <numFmt numFmtId="1" formatCode="0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476481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C1095-6853-4A03-95CA-4778AC0E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476481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C117F-25FD-45D9-A1CC-8941239E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476481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56D40-2FE7-4209-939C-B1FB3F17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, Neil (Avison Young - CA)" refreshedDate="46259.671736921293" createdVersion="8" refreshedVersion="8" minRefreshableVersion="3" recordCount="9" xr:uid="{27795320-9234-47CE-ABE5-7AE96801CC94}">
  <cacheSource type="worksheet">
    <worksheetSource ref="A2:F11" sheet="Castle Harbour RMS Aug comparis"/>
  </cacheSource>
  <cacheFields count="6">
    <cacheField name="Building Name" numFmtId="0">
      <sharedItems containsBlank="1"/>
    </cacheField>
    <cacheField name="Address" numFmtId="0">
      <sharedItems containsBlank="1"/>
    </cacheField>
    <cacheField name="Unit Type" numFmtId="0">
      <sharedItems containsBlank="1" count="3">
        <s v="2 Bed/1 Bath"/>
        <m/>
        <s v="1 Bed/1 Bath"/>
      </sharedItems>
    </cacheField>
    <cacheField name="SF" numFmtId="0">
      <sharedItems containsString="0" containsBlank="1" containsNumber="1" containsInteger="1" minValue="630" maxValue="1001"/>
    </cacheField>
    <cacheField name="Rental Rate" numFmtId="0">
      <sharedItems containsString="0" containsBlank="1" containsNumber="1" containsInteger="1" minValue="1179" maxValue="1475"/>
    </cacheField>
    <cacheField name="Rent PSF" numFmtId="0">
      <sharedItems containsString="0" containsBlank="1" containsNumber="1" minValue="1.3936063936063936" maxValue="2.0217729393468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nette, Brannon (Avison Young - CA)" refreshedDate="46260.509945138889" createdVersion="8" refreshedVersion="8" minRefreshableVersion="3" recordCount="12" xr:uid="{6E7B470D-A199-4FB6-B54E-D0B158028D66}">
  <cacheSource type="worksheet">
    <worksheetSource ref="A2:F14" sheet="Castle Harbour RMS - July"/>
  </cacheSource>
  <cacheFields count="6">
    <cacheField name="Building Name" numFmtId="0">
      <sharedItems containsBlank="1"/>
    </cacheField>
    <cacheField name="Address" numFmtId="0">
      <sharedItems containsBlank="1"/>
    </cacheField>
    <cacheField name="Unit Type" numFmtId="0">
      <sharedItems containsBlank="1" count="4">
        <s v="1 Bed/1 Bath"/>
        <s v="2 Bed/1 Bath"/>
        <m/>
        <s v="1 Bed/1.5 Bath" u="1"/>
      </sharedItems>
    </cacheField>
    <cacheField name="SF" numFmtId="1">
      <sharedItems containsString="0" containsBlank="1" containsNumber="1" containsInteger="1" minValue="523" maxValue="1001"/>
    </cacheField>
    <cacheField name="Rental Rate" numFmtId="164">
      <sharedItems containsString="0" containsBlank="1" containsNumber="1" containsInteger="1" minValue="1099" maxValue="1449"/>
    </cacheField>
    <cacheField name="Rent PSF" numFmtId="44">
      <sharedItems containsString="0" containsBlank="1" containsNumber="1" minValue="1.3936063936063936" maxValue="2.2925430210325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Beau Mills Apartments"/>
    <s v="15805 Beaumaris Road"/>
    <x v="0"/>
    <n v="1001"/>
    <n v="1395"/>
    <n v="1.3936063936063936"/>
  </r>
  <r>
    <m/>
    <m/>
    <x v="1"/>
    <m/>
    <m/>
    <m/>
  </r>
  <r>
    <m/>
    <s v="16425 109 Street NW"/>
    <x v="2"/>
    <n v="700"/>
    <n v="1333"/>
    <n v="1.9042857142857144"/>
  </r>
  <r>
    <s v="Hampton Court"/>
    <s v="16404 115 Street NW"/>
    <x v="2"/>
    <n v="630"/>
    <n v="1179"/>
    <n v="1.8714285714285714"/>
  </r>
  <r>
    <m/>
    <m/>
    <x v="0"/>
    <n v="900"/>
    <n v="1449"/>
    <n v="1.61"/>
  </r>
  <r>
    <s v="Warwick Apartments"/>
    <s v="12004 162 Avenue NW"/>
    <x v="0"/>
    <n v="829"/>
    <n v="1359"/>
    <n v="1.6393244873341375"/>
  </r>
  <r>
    <m/>
    <m/>
    <x v="1"/>
    <m/>
    <m/>
    <m/>
  </r>
  <r>
    <s v="Meadow Mews"/>
    <s v="12048 161 Avenue NW"/>
    <x v="2"/>
    <n v="643"/>
    <n v="1300"/>
    <n v="2.0217729393468118"/>
  </r>
  <r>
    <m/>
    <m/>
    <x v="0"/>
    <n v="875"/>
    <n v="1475"/>
    <n v="1.68571428571428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Meadowside Estates"/>
    <s v="11919 - 162 Avenue NW"/>
    <x v="0"/>
    <n v="523"/>
    <n v="1199"/>
    <n v="2.2925430210325048"/>
  </r>
  <r>
    <m/>
    <m/>
    <x v="1"/>
    <n v="718"/>
    <n v="1429"/>
    <n v="1.99025069637883"/>
  </r>
  <r>
    <s v="Palisades Manor"/>
    <s v="16425 - 109 Street NW"/>
    <x v="0"/>
    <n v="850"/>
    <n v="1275"/>
    <n v="1.5"/>
  </r>
  <r>
    <m/>
    <m/>
    <x v="1"/>
    <n v="925"/>
    <n v="1437"/>
    <n v="1.5535135135135134"/>
  </r>
  <r>
    <s v="Hampton Court"/>
    <s v="16404 - 115 Street NW"/>
    <x v="0"/>
    <n v="630"/>
    <n v="1099"/>
    <n v="1.7444444444444445"/>
  </r>
  <r>
    <m/>
    <m/>
    <x v="1"/>
    <n v="900"/>
    <n v="1449"/>
    <n v="1.61"/>
  </r>
  <r>
    <s v="Warwick Apartments"/>
    <s v="12004 - 162 Avenue NW"/>
    <x v="1"/>
    <n v="829"/>
    <n v="1329"/>
    <n v="1.6031363088057902"/>
  </r>
  <r>
    <m/>
    <m/>
    <x v="2"/>
    <m/>
    <m/>
    <m/>
  </r>
  <r>
    <s v="Meadow Mews"/>
    <s v="12048 - 161 Avenue NW"/>
    <x v="1"/>
    <n v="875"/>
    <n v="1292"/>
    <n v="1.4765714285714286"/>
  </r>
  <r>
    <m/>
    <m/>
    <x v="2"/>
    <m/>
    <m/>
    <m/>
  </r>
  <r>
    <s v="Beau Mills Apartments"/>
    <s v="15805 Beaumaris Road"/>
    <x v="1"/>
    <n v="1001"/>
    <n v="1395"/>
    <n v="1.3936063936063936"/>
  </r>
  <r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4E0A1-8149-43E5-A602-03E9E026A96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n">
  <location ref="L22:O25" firstHeaderRow="0" firstDataRow="1" firstDataCol="1"/>
  <pivotFields count="6">
    <pivotField showAll="0"/>
    <pivotField showAll="0"/>
    <pivotField axis="axisRow" showAll="0">
      <items count="4">
        <item x="2"/>
        <item x="0"/>
        <item h="1" x="1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/>
    <dataField name="Average of Rental Rate" fld="4" subtotal="average" baseField="2" baseItem="0"/>
    <dataField name="Average of Rent PSF" fld="5" subtotal="average" baseField="2" baseItem="0" numFmtId="2"/>
  </dataFields>
  <formats count="2">
    <format dxfId="38">
      <pivotArea outline="0" collapsedLevelsAreSubtotals="1" fieldPosition="0"/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F3170-0898-439A-8AB4-527F257FC9A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9:O32" firstHeaderRow="0" firstDataRow="1" firstDataCol="1"/>
  <pivotFields count="6">
    <pivotField showAll="0"/>
    <pivotField showAll="0"/>
    <pivotField axis="axisRow" showAll="0">
      <items count="5">
        <item x="0"/>
        <item m="1" x="3"/>
        <item x="1"/>
        <item h="1" x="2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/>
    <dataField name="Average of Rental Rate" fld="4" subtotal="average" baseField="2" baseItem="0" numFmtId="164"/>
    <dataField name="Average of Rent PSF" fld="5" subtotal="average" baseField="2" baseItem="0" numFmtId="44"/>
  </dataFields>
  <formats count="5"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67522-0B4F-40C8-85D5-06896AB3A41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n">
  <location ref="N22:Q25" firstHeaderRow="0" firstDataRow="1" firstDataCol="1"/>
  <pivotFields count="6">
    <pivotField showAll="0"/>
    <pivotField showAll="0"/>
    <pivotField axis="axisRow" showAll="0">
      <items count="4">
        <item x="2"/>
        <item x="0"/>
        <item h="1" x="1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/>
    <dataField name="Average of Rental Rate" fld="4" subtotal="average" baseField="2" baseItem="0"/>
    <dataField name="Average of Rent PSF" fld="5" subtotal="average" baseField="2" baseItem="0" numFmtId="2"/>
  </dataFields>
  <formats count="2">
    <format dxfId="31">
      <pivotArea outline="0" collapsedLevelsAreSubtotals="1" fieldPosition="0"/>
    </format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E4F96-A1ED-42B5-8BF6-D9AC15A0492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6:Q19" firstHeaderRow="0" firstDataRow="1" firstDataCol="1"/>
  <pivotFields count="6">
    <pivotField showAll="0"/>
    <pivotField showAll="0"/>
    <pivotField axis="axisRow" showAll="0">
      <items count="5">
        <item x="0"/>
        <item m="1" x="3"/>
        <item x="1"/>
        <item h="1" x="2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/>
    <dataField name="Average of Rental Rate" fld="4" subtotal="average" baseField="2" baseItem="0" numFmtId="164"/>
    <dataField name="Average of Rent PSF" fld="5" subtotal="average" baseField="2" baseItem="0" numFmtId="44"/>
  </dataFields>
  <formats count="5"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45CF-5FC1-454A-A170-90CF86AFCA3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9:O22" firstHeaderRow="0" firstDataRow="1" firstDataCol="1"/>
  <pivotFields count="6">
    <pivotField showAll="0"/>
    <pivotField showAll="0"/>
    <pivotField axis="axisRow" showAll="0">
      <items count="5">
        <item x="0"/>
        <item m="1" x="3"/>
        <item x="1"/>
        <item h="1" x="2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/>
    <dataField name="Average of Rental Rate" fld="4" subtotal="average" baseField="2" baseItem="0" numFmtId="164"/>
    <dataField name="Average of Rent PSF" fld="5" subtotal="average" baseField="2" baseItem="0" numFmtId="44"/>
  </dataFields>
  <formats count="5"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4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ntfaster.ca/properties/12004-162-ave-nw-edmonton-288678?-RSYNC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ntfaster.ca/properties/12004-162-ave-nw-edmonton-288678?-RSYNC" TargetMode="Externa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rentfaster.ca/properties/12004-162-ave-nw-edmonton-288678?-RSYNC" TargetMode="Externa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1848-4E64-491F-893E-F1BB43D85A14}">
  <sheetPr>
    <pageSetUpPr fitToPage="1"/>
  </sheetPr>
  <dimension ref="A1:S32"/>
  <sheetViews>
    <sheetView zoomScaleNormal="100" workbookViewId="0">
      <selection activeCell="R21" sqref="R21"/>
    </sheetView>
  </sheetViews>
  <sheetFormatPr defaultRowHeight="15" x14ac:dyDescent="0.25"/>
  <cols>
    <col min="1" max="1" width="22.140625" customWidth="1"/>
    <col min="2" max="2" width="23.28515625" style="20" bestFit="1" customWidth="1"/>
    <col min="3" max="3" width="24.85546875" style="20" bestFit="1" customWidth="1"/>
    <col min="4" max="4" width="12" style="20" customWidth="1"/>
    <col min="5" max="5" width="14.28515625" style="19" customWidth="1"/>
    <col min="6" max="6" width="9" style="20" bestFit="1" customWidth="1"/>
    <col min="7" max="7" width="17.140625" hidden="1" customWidth="1"/>
    <col min="8" max="8" width="15.42578125" hidden="1" customWidth="1"/>
    <col min="9" max="9" width="11.7109375" style="23" hidden="1" customWidth="1"/>
    <col min="10" max="10" width="66.28515625" hidden="1" customWidth="1"/>
    <col min="11" max="11" width="31.28515625" customWidth="1"/>
    <col min="12" max="13" width="13.140625" bestFit="1" customWidth="1"/>
    <col min="14" max="14" width="21.5703125" bestFit="1" customWidth="1"/>
    <col min="15" max="15" width="19" bestFit="1" customWidth="1"/>
    <col min="18" max="19" width="9.5703125" bestFit="1" customWidth="1"/>
  </cols>
  <sheetData>
    <row r="1" spans="1:12" ht="87.75" customHeight="1" x14ac:dyDescent="0.25">
      <c r="A1" s="49" t="s">
        <v>21</v>
      </c>
      <c r="B1" s="50"/>
      <c r="C1" s="50"/>
      <c r="D1" s="50"/>
      <c r="E1" s="50"/>
      <c r="F1" s="51"/>
    </row>
    <row r="2" spans="1:12" ht="36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4" t="s">
        <v>7</v>
      </c>
      <c r="I2" s="3" t="s">
        <v>16</v>
      </c>
      <c r="J2" s="3" t="s">
        <v>9</v>
      </c>
      <c r="K2" s="3" t="s">
        <v>50</v>
      </c>
      <c r="L2" s="3" t="s">
        <v>29</v>
      </c>
    </row>
    <row r="3" spans="1:12" ht="24.95" customHeight="1" x14ac:dyDescent="0.25">
      <c r="A3" s="52" t="s">
        <v>27</v>
      </c>
      <c r="B3" s="53" t="s">
        <v>28</v>
      </c>
      <c r="C3" s="56" t="s">
        <v>25</v>
      </c>
      <c r="D3" s="57">
        <v>1001</v>
      </c>
      <c r="E3" s="58">
        <v>1395</v>
      </c>
      <c r="F3" s="59">
        <f>E3/D3</f>
        <v>1.3936063936063936</v>
      </c>
      <c r="G3" t="s">
        <v>17</v>
      </c>
      <c r="H3" s="28" t="e">
        <f>#REF!+225</f>
        <v>#REF!</v>
      </c>
      <c r="I3" s="26" t="e">
        <f>H3/#REF!</f>
        <v>#REF!</v>
      </c>
      <c r="J3" t="s">
        <v>11</v>
      </c>
      <c r="K3" s="65" t="s">
        <v>51</v>
      </c>
      <c r="L3" t="s">
        <v>30</v>
      </c>
    </row>
    <row r="4" spans="1:12" ht="24.95" customHeight="1" x14ac:dyDescent="0.25">
      <c r="A4" s="52"/>
      <c r="B4" s="53"/>
      <c r="C4" s="56"/>
      <c r="D4" s="57"/>
      <c r="E4" s="58"/>
      <c r="F4" s="59"/>
      <c r="G4" t="s">
        <v>17</v>
      </c>
      <c r="H4" s="28">
        <f>E3+225</f>
        <v>1620</v>
      </c>
      <c r="I4" s="26">
        <f>H4/D3</f>
        <v>1.6183816183816184</v>
      </c>
      <c r="J4" t="s">
        <v>11</v>
      </c>
      <c r="K4" s="65"/>
    </row>
    <row r="5" spans="1:12" ht="24.95" customHeight="1" x14ac:dyDescent="0.25">
      <c r="A5" s="32"/>
      <c r="B5" s="33" t="s">
        <v>31</v>
      </c>
      <c r="C5" s="5" t="s">
        <v>24</v>
      </c>
      <c r="D5" s="6">
        <v>700</v>
      </c>
      <c r="E5" s="7">
        <v>1333</v>
      </c>
      <c r="F5" s="22">
        <f>E5/D5</f>
        <v>1.9042857142857144</v>
      </c>
      <c r="G5" s="24" t="s">
        <v>18</v>
      </c>
      <c r="H5" s="31">
        <f>E5+100</f>
        <v>1433</v>
      </c>
      <c r="I5" s="27">
        <f>H5/D5</f>
        <v>2.0471428571428572</v>
      </c>
      <c r="J5" s="24" t="s">
        <v>13</v>
      </c>
      <c r="K5" s="38"/>
      <c r="L5" t="s">
        <v>38</v>
      </c>
    </row>
    <row r="6" spans="1:12" ht="24.95" customHeight="1" x14ac:dyDescent="0.25">
      <c r="A6" s="52" t="s">
        <v>32</v>
      </c>
      <c r="B6" s="53" t="s">
        <v>33</v>
      </c>
      <c r="C6" s="8" t="s">
        <v>24</v>
      </c>
      <c r="D6" s="9">
        <v>630</v>
      </c>
      <c r="E6" s="10">
        <v>1179</v>
      </c>
      <c r="F6" s="21">
        <f>E6/D6</f>
        <v>1.8714285714285714</v>
      </c>
      <c r="G6" s="66" t="s">
        <v>18</v>
      </c>
      <c r="H6" s="67">
        <f>E6+100</f>
        <v>1279</v>
      </c>
      <c r="I6" s="68">
        <f>H6/D6</f>
        <v>2.0301587301587301</v>
      </c>
      <c r="J6" s="69" t="s">
        <v>10</v>
      </c>
      <c r="K6" s="38" t="s">
        <v>52</v>
      </c>
      <c r="L6" t="s">
        <v>37</v>
      </c>
    </row>
    <row r="7" spans="1:12" ht="24.95" customHeight="1" x14ac:dyDescent="0.25">
      <c r="A7" s="52"/>
      <c r="B7" s="53"/>
      <c r="C7" s="8" t="s">
        <v>25</v>
      </c>
      <c r="D7" s="9">
        <v>900</v>
      </c>
      <c r="E7" s="10">
        <v>1449</v>
      </c>
      <c r="F7" s="21">
        <f>E7/D7</f>
        <v>1.61</v>
      </c>
      <c r="G7" s="66"/>
      <c r="H7" s="67"/>
      <c r="I7" s="68"/>
      <c r="J7" s="69"/>
    </row>
    <row r="8" spans="1:12" ht="24.95" customHeight="1" x14ac:dyDescent="0.25">
      <c r="A8" s="55" t="s">
        <v>34</v>
      </c>
      <c r="B8" s="55" t="s">
        <v>36</v>
      </c>
      <c r="C8" s="61" t="s">
        <v>25</v>
      </c>
      <c r="D8" s="62">
        <v>829</v>
      </c>
      <c r="E8" s="63">
        <v>1359</v>
      </c>
      <c r="F8" s="64">
        <f>E8/D8</f>
        <v>1.6393244873341375</v>
      </c>
      <c r="G8" t="s">
        <v>19</v>
      </c>
      <c r="H8" s="28" t="e">
        <f>#REF!+175</f>
        <v>#REF!</v>
      </c>
      <c r="I8" s="26" t="e">
        <f>H8/#REF!</f>
        <v>#REF!</v>
      </c>
      <c r="J8" t="s">
        <v>12</v>
      </c>
      <c r="L8" s="39" t="s">
        <v>35</v>
      </c>
    </row>
    <row r="9" spans="1:12" ht="24.95" customHeight="1" x14ac:dyDescent="0.25">
      <c r="A9" s="55"/>
      <c r="B9" s="55"/>
      <c r="C9" s="61"/>
      <c r="D9" s="62"/>
      <c r="E9" s="63"/>
      <c r="F9" s="64"/>
      <c r="G9" t="s">
        <v>19</v>
      </c>
      <c r="H9" s="28">
        <f>E8+175</f>
        <v>1534</v>
      </c>
      <c r="I9" s="26">
        <f>H9/D8</f>
        <v>1.8504221954161642</v>
      </c>
      <c r="J9" t="s">
        <v>12</v>
      </c>
    </row>
    <row r="10" spans="1:12" ht="24.95" customHeight="1" x14ac:dyDescent="0.25">
      <c r="A10" s="52" t="s">
        <v>39</v>
      </c>
      <c r="B10" s="53" t="s">
        <v>40</v>
      </c>
      <c r="C10" s="20" t="s">
        <v>24</v>
      </c>
      <c r="D10" s="20">
        <v>643</v>
      </c>
      <c r="E10" s="43">
        <v>1300</v>
      </c>
      <c r="F10" s="44">
        <f>E10/D10</f>
        <v>2.0217729393468118</v>
      </c>
      <c r="G10" s="24" t="s">
        <v>20</v>
      </c>
      <c r="H10" s="31" t="e">
        <f>#REF!+170</f>
        <v>#REF!</v>
      </c>
      <c r="I10" s="27" t="e">
        <f>H10/#REF!</f>
        <v>#REF!</v>
      </c>
      <c r="J10" s="24" t="s">
        <v>14</v>
      </c>
      <c r="K10" s="38"/>
      <c r="L10" t="s">
        <v>41</v>
      </c>
    </row>
    <row r="11" spans="1:12" ht="24.95" customHeight="1" x14ac:dyDescent="0.25">
      <c r="A11" s="52"/>
      <c r="B11" s="53"/>
      <c r="C11" s="8" t="s">
        <v>25</v>
      </c>
      <c r="D11" s="9">
        <v>875</v>
      </c>
      <c r="E11" s="47">
        <v>1475</v>
      </c>
      <c r="F11" s="48">
        <f>E11/D11</f>
        <v>1.6857142857142857</v>
      </c>
      <c r="G11" s="24"/>
      <c r="H11" s="31"/>
      <c r="I11" s="27"/>
      <c r="J11" s="24"/>
      <c r="K11" s="38"/>
    </row>
    <row r="12" spans="1:12" ht="24" customHeight="1" x14ac:dyDescent="0.25">
      <c r="A12" s="60" t="s">
        <v>22</v>
      </c>
      <c r="B12" s="60" t="s">
        <v>26</v>
      </c>
      <c r="C12" s="11" t="s">
        <v>23</v>
      </c>
      <c r="D12" s="12">
        <v>350</v>
      </c>
      <c r="E12" s="13">
        <v>1000</v>
      </c>
      <c r="F12" s="14">
        <f>E12/D12</f>
        <v>2.8571428571428572</v>
      </c>
      <c r="G12" s="15" t="s">
        <v>8</v>
      </c>
      <c r="H12" s="29">
        <f>E12+125</f>
        <v>1125</v>
      </c>
      <c r="I12" s="25">
        <f>H12/D12</f>
        <v>3.2142857142857144</v>
      </c>
    </row>
    <row r="13" spans="1:12" ht="30" customHeight="1" thickBot="1" x14ac:dyDescent="0.3">
      <c r="A13" s="60"/>
      <c r="B13" s="60"/>
      <c r="C13" s="16" t="s">
        <v>24</v>
      </c>
      <c r="D13" s="17">
        <v>565</v>
      </c>
      <c r="E13" s="18">
        <v>1083</v>
      </c>
      <c r="F13" s="14">
        <f t="shared" ref="F13:F14" si="0">E13/D13</f>
        <v>1.9168141592920354</v>
      </c>
      <c r="G13" s="15" t="s">
        <v>8</v>
      </c>
      <c r="H13" s="30">
        <f>E13+125</f>
        <v>1208</v>
      </c>
      <c r="I13" s="25">
        <f>H13/D13</f>
        <v>2.1380530973451326</v>
      </c>
    </row>
    <row r="14" spans="1:12" ht="27.75" customHeight="1" thickBot="1" x14ac:dyDescent="0.3">
      <c r="A14" s="60"/>
      <c r="B14" s="60"/>
      <c r="C14" s="11" t="s">
        <v>25</v>
      </c>
      <c r="D14" s="12">
        <v>938</v>
      </c>
      <c r="E14" s="13">
        <v>1344</v>
      </c>
      <c r="F14" s="14">
        <f t="shared" si="0"/>
        <v>1.4328358208955223</v>
      </c>
      <c r="G14" s="15" t="s">
        <v>8</v>
      </c>
      <c r="H14" s="30">
        <f t="shared" ref="H14" si="1">E14+125</f>
        <v>1469</v>
      </c>
      <c r="I14" s="25">
        <f>H14/D14</f>
        <v>1.5660980810234542</v>
      </c>
    </row>
    <row r="15" spans="1:12" ht="20.100000000000001" customHeight="1" x14ac:dyDescent="0.25">
      <c r="B15"/>
      <c r="C15"/>
      <c r="D15"/>
      <c r="E15"/>
      <c r="F15"/>
    </row>
    <row r="16" spans="1:12" ht="20.100000000000001" customHeight="1" x14ac:dyDescent="0.25">
      <c r="B16"/>
      <c r="C16"/>
      <c r="D16"/>
      <c r="E16"/>
      <c r="F16"/>
    </row>
    <row r="17" spans="1:19" ht="20.100000000000001" customHeight="1" x14ac:dyDescent="0.25">
      <c r="B17"/>
      <c r="D17"/>
      <c r="E17"/>
      <c r="F17"/>
    </row>
    <row r="18" spans="1:19" ht="20.100000000000001" customHeight="1" x14ac:dyDescent="0.25">
      <c r="B18"/>
      <c r="C18"/>
      <c r="D18"/>
      <c r="E18"/>
      <c r="F18"/>
    </row>
    <row r="19" spans="1:19" ht="20.100000000000001" customHeight="1" x14ac:dyDescent="0.25">
      <c r="B19"/>
      <c r="D19"/>
      <c r="E19"/>
      <c r="F19"/>
    </row>
    <row r="20" spans="1:19" ht="20.100000000000001" customHeight="1" x14ac:dyDescent="0.25">
      <c r="B20"/>
      <c r="C20"/>
      <c r="D20"/>
      <c r="E20"/>
      <c r="F20"/>
      <c r="R20" t="s">
        <v>67</v>
      </c>
    </row>
    <row r="21" spans="1:19" ht="20.100000000000001" customHeight="1" x14ac:dyDescent="0.25">
      <c r="B21"/>
      <c r="C21"/>
      <c r="D21"/>
      <c r="E21"/>
      <c r="F21"/>
      <c r="L21" t="s">
        <v>61</v>
      </c>
    </row>
    <row r="22" spans="1:19" ht="20.100000000000001" customHeight="1" x14ac:dyDescent="0.25">
      <c r="B22"/>
      <c r="C22"/>
      <c r="D22"/>
      <c r="E22"/>
      <c r="F22"/>
      <c r="L22" t="s">
        <v>60</v>
      </c>
      <c r="M22" t="s">
        <v>44</v>
      </c>
      <c r="N22" t="s">
        <v>45</v>
      </c>
      <c r="O22" t="s">
        <v>46</v>
      </c>
      <c r="R22" t="s">
        <v>63</v>
      </c>
      <c r="S22" t="s">
        <v>64</v>
      </c>
    </row>
    <row r="23" spans="1:19" ht="20.100000000000001" customHeight="1" x14ac:dyDescent="0.25">
      <c r="B23"/>
      <c r="C23"/>
      <c r="D23"/>
      <c r="E23"/>
      <c r="F23"/>
      <c r="L23" s="35" t="s">
        <v>24</v>
      </c>
      <c r="M23" s="36">
        <v>657.66666666666663</v>
      </c>
      <c r="N23" s="36">
        <v>1270.6666666666667</v>
      </c>
      <c r="O23" s="45">
        <v>1.9324957416870323</v>
      </c>
      <c r="Q23" t="s">
        <v>65</v>
      </c>
      <c r="R23" s="46">
        <f>GETPIVOTDATA("Average of Rental Rate",$L$22,"Unit Type","1 Bed/1 Bath")-GETPIVOTDATA("Average of Rental Rate",$L$29,"Unit Type","1 Bed/1 Bath")</f>
        <v>79.666666666666742</v>
      </c>
      <c r="S23" s="46">
        <f>GETPIVOTDATA("Average of Rental Rate",$L$22,"Unit Type","2 Bed/1 Bath")-GETPIVOTDATA("Average of Rental Rate",$L$29,"Unit Type","2 Bed/1 Bath")</f>
        <v>31</v>
      </c>
    </row>
    <row r="24" spans="1:19" ht="20.100000000000001" customHeight="1" x14ac:dyDescent="0.25">
      <c r="B24"/>
      <c r="C24"/>
      <c r="D24"/>
      <c r="E24"/>
      <c r="F24"/>
      <c r="L24" s="35" t="s">
        <v>25</v>
      </c>
      <c r="M24" s="36">
        <v>901.25</v>
      </c>
      <c r="N24" s="36">
        <v>1419.5</v>
      </c>
      <c r="O24" s="45">
        <v>1.5821612916637042</v>
      </c>
      <c r="Q24" t="s">
        <v>66</v>
      </c>
      <c r="R24" s="45">
        <f>GETPIVOTDATA("Average of Rent PSF",$L$22,"Unit Type","1 Bed/1 Bath")-GETPIVOTDATA("Average of Rent PSF",$L$29,"Unit Type","1 Bed/1 Bath")</f>
        <v>8.6833253194715798E-2</v>
      </c>
      <c r="S24" s="45">
        <f>GETPIVOTDATA("Average of Rent PSF",$L$22,"Unit Type","2 Bed/1 Bath")-GETPIVOTDATA("Average of Rent PSF",$L$29,"Unit Type","2 Bed/1 Bath")</f>
        <v>-2.2351765148955094E-2</v>
      </c>
    </row>
    <row r="25" spans="1:19" ht="20.100000000000001" customHeight="1" x14ac:dyDescent="0.25">
      <c r="B25"/>
      <c r="C25"/>
      <c r="D25"/>
      <c r="E25"/>
      <c r="F25"/>
      <c r="L25" s="35" t="s">
        <v>43</v>
      </c>
      <c r="M25" s="36">
        <v>796.85714285714289</v>
      </c>
      <c r="N25" s="36">
        <v>1355.7142857142858</v>
      </c>
      <c r="O25" s="45">
        <v>1.7323046273879876</v>
      </c>
    </row>
    <row r="26" spans="1:19" x14ac:dyDescent="0.25">
      <c r="B26"/>
      <c r="C26"/>
      <c r="D26"/>
      <c r="E26"/>
      <c r="F26"/>
    </row>
    <row r="27" spans="1:19" x14ac:dyDescent="0.25">
      <c r="B27"/>
      <c r="C27"/>
      <c r="D27"/>
      <c r="E27"/>
      <c r="F27"/>
    </row>
    <row r="28" spans="1:19" x14ac:dyDescent="0.25">
      <c r="B28"/>
      <c r="C28"/>
      <c r="D28"/>
      <c r="L28" s="35" t="s">
        <v>62</v>
      </c>
    </row>
    <row r="29" spans="1:19" s="19" customFormat="1" x14ac:dyDescent="0.25">
      <c r="A29"/>
      <c r="B29"/>
      <c r="C29"/>
      <c r="D29"/>
      <c r="F29" s="20"/>
      <c r="G29"/>
      <c r="H29"/>
      <c r="I29" s="23"/>
      <c r="J29"/>
      <c r="L29" s="34" t="s">
        <v>42</v>
      </c>
      <c r="M29" t="s">
        <v>44</v>
      </c>
      <c r="N29" t="s">
        <v>45</v>
      </c>
      <c r="O29" t="s">
        <v>46</v>
      </c>
    </row>
    <row r="30" spans="1:19" x14ac:dyDescent="0.25">
      <c r="L30" s="35" t="s">
        <v>24</v>
      </c>
      <c r="M30" s="90">
        <v>667.66666666666663</v>
      </c>
      <c r="N30" s="37">
        <v>1191</v>
      </c>
      <c r="O30" s="23">
        <v>1.8456624884923165</v>
      </c>
    </row>
    <row r="31" spans="1:19" x14ac:dyDescent="0.25">
      <c r="L31" s="35" t="s">
        <v>25</v>
      </c>
      <c r="M31" s="90">
        <v>874.66666666666663</v>
      </c>
      <c r="N31" s="37">
        <v>1388.5</v>
      </c>
      <c r="O31" s="23">
        <v>1.6045130568126593</v>
      </c>
    </row>
    <row r="32" spans="1:19" x14ac:dyDescent="0.25">
      <c r="L32" s="35" t="s">
        <v>43</v>
      </c>
      <c r="M32" s="36">
        <v>805.66666666666663</v>
      </c>
      <c r="N32" s="37">
        <v>1322.6666666666667</v>
      </c>
      <c r="O32" s="23">
        <v>1.6848962007058783</v>
      </c>
    </row>
  </sheetData>
  <mergeCells count="24">
    <mergeCell ref="A1:F1"/>
    <mergeCell ref="A3:A4"/>
    <mergeCell ref="B3:B4"/>
    <mergeCell ref="C3:C4"/>
    <mergeCell ref="D3:D4"/>
    <mergeCell ref="E3:E4"/>
    <mergeCell ref="F3:F4"/>
    <mergeCell ref="A6:A7"/>
    <mergeCell ref="B6:B7"/>
    <mergeCell ref="G6:G7"/>
    <mergeCell ref="H6:H7"/>
    <mergeCell ref="I6:I7"/>
    <mergeCell ref="C8:C9"/>
    <mergeCell ref="D8:D9"/>
    <mergeCell ref="E8:E9"/>
    <mergeCell ref="F8:F9"/>
    <mergeCell ref="K3:K4"/>
    <mergeCell ref="J6:J7"/>
    <mergeCell ref="A10:A11"/>
    <mergeCell ref="B10:B11"/>
    <mergeCell ref="A12:A14"/>
    <mergeCell ref="B12:B14"/>
    <mergeCell ref="A8:A9"/>
    <mergeCell ref="B8:B9"/>
  </mergeCells>
  <hyperlinks>
    <hyperlink ref="L8" r:id="rId3" xr:uid="{2E062DC2-16F8-4288-99C9-291D5E1170AD}"/>
  </hyperlinks>
  <pageMargins left="0.7" right="0.7" top="0.75" bottom="0.75" header="0.3" footer="0.3"/>
  <pageSetup scale="61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A3D1-787A-4EC2-BBE2-150EA58D25B1}">
  <sheetPr>
    <pageSetUpPr fitToPage="1"/>
  </sheetPr>
  <dimension ref="A1:Q29"/>
  <sheetViews>
    <sheetView zoomScaleNormal="100" workbookViewId="0">
      <selection activeCell="N16" sqref="N16:Q19"/>
    </sheetView>
  </sheetViews>
  <sheetFormatPr defaultRowHeight="15" x14ac:dyDescent="0.25"/>
  <cols>
    <col min="1" max="1" width="22.140625" customWidth="1"/>
    <col min="2" max="2" width="23.28515625" style="20" bestFit="1" customWidth="1"/>
    <col min="3" max="3" width="24.85546875" style="20" bestFit="1" customWidth="1"/>
    <col min="4" max="4" width="12" style="20" customWidth="1"/>
    <col min="5" max="5" width="14.28515625" style="19" customWidth="1"/>
    <col min="6" max="6" width="9" style="20" bestFit="1" customWidth="1"/>
    <col min="7" max="7" width="17.140625" hidden="1" customWidth="1"/>
    <col min="8" max="8" width="15.42578125" hidden="1" customWidth="1"/>
    <col min="9" max="9" width="11.7109375" style="23" hidden="1" customWidth="1"/>
    <col min="10" max="10" width="66.28515625" hidden="1" customWidth="1"/>
    <col min="11" max="13" width="31.28515625" customWidth="1"/>
    <col min="14" max="15" width="13.140625" bestFit="1" customWidth="1"/>
    <col min="16" max="16" width="21.5703125" bestFit="1" customWidth="1"/>
    <col min="17" max="17" width="19" bestFit="1" customWidth="1"/>
  </cols>
  <sheetData>
    <row r="1" spans="1:17" ht="87.75" customHeight="1" x14ac:dyDescent="0.25">
      <c r="A1" s="49" t="s">
        <v>21</v>
      </c>
      <c r="B1" s="50"/>
      <c r="C1" s="50"/>
      <c r="D1" s="50"/>
      <c r="E1" s="50"/>
      <c r="F1" s="51"/>
    </row>
    <row r="2" spans="1:17" ht="36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4" t="s">
        <v>7</v>
      </c>
      <c r="I2" s="3" t="s">
        <v>16</v>
      </c>
      <c r="J2" s="3" t="s">
        <v>9</v>
      </c>
      <c r="K2" s="3" t="s">
        <v>9</v>
      </c>
      <c r="L2" s="3" t="s">
        <v>50</v>
      </c>
      <c r="M2" s="3" t="s">
        <v>53</v>
      </c>
      <c r="N2" s="3" t="s">
        <v>29</v>
      </c>
    </row>
    <row r="3" spans="1:17" ht="24.95" customHeight="1" x14ac:dyDescent="0.25">
      <c r="A3" s="52" t="s">
        <v>27</v>
      </c>
      <c r="B3" s="53" t="s">
        <v>28</v>
      </c>
      <c r="C3" s="56" t="s">
        <v>25</v>
      </c>
      <c r="D3" s="57">
        <v>1001</v>
      </c>
      <c r="E3" s="58">
        <v>1395</v>
      </c>
      <c r="F3" s="59">
        <f>E3/D3</f>
        <v>1.3936063936063936</v>
      </c>
      <c r="G3" t="s">
        <v>17</v>
      </c>
      <c r="H3" s="28" t="e">
        <f>#REF!+225</f>
        <v>#REF!</v>
      </c>
      <c r="I3" s="26" t="e">
        <f>H3/#REF!</f>
        <v>#REF!</v>
      </c>
      <c r="J3" t="s">
        <v>11</v>
      </c>
      <c r="K3" s="65" t="s">
        <v>47</v>
      </c>
      <c r="L3" s="65" t="s">
        <v>51</v>
      </c>
      <c r="M3" s="38" t="s">
        <v>54</v>
      </c>
      <c r="N3" t="s">
        <v>30</v>
      </c>
    </row>
    <row r="4" spans="1:17" ht="24.95" customHeight="1" x14ac:dyDescent="0.25">
      <c r="A4" s="52"/>
      <c r="B4" s="53"/>
      <c r="C4" s="56"/>
      <c r="D4" s="57"/>
      <c r="E4" s="58"/>
      <c r="F4" s="59"/>
      <c r="G4" t="s">
        <v>17</v>
      </c>
      <c r="H4" s="28">
        <f>E3+225</f>
        <v>1620</v>
      </c>
      <c r="I4" s="26">
        <f>H4/D3</f>
        <v>1.6183816183816184</v>
      </c>
      <c r="J4" t="s">
        <v>11</v>
      </c>
      <c r="K4" s="65"/>
      <c r="L4" s="65"/>
      <c r="M4" s="38"/>
    </row>
    <row r="5" spans="1:17" ht="24.95" customHeight="1" x14ac:dyDescent="0.25">
      <c r="A5" s="32"/>
      <c r="B5" s="33" t="s">
        <v>31</v>
      </c>
      <c r="C5" s="5" t="s">
        <v>24</v>
      </c>
      <c r="D5" s="6">
        <v>700</v>
      </c>
      <c r="E5" s="7">
        <v>1333</v>
      </c>
      <c r="F5" s="22">
        <f>E5/D5</f>
        <v>1.9042857142857144</v>
      </c>
      <c r="G5" s="24" t="s">
        <v>18</v>
      </c>
      <c r="H5" s="31">
        <f>E5+100</f>
        <v>1433</v>
      </c>
      <c r="I5" s="27">
        <f>H5/D5</f>
        <v>2.0471428571428572</v>
      </c>
      <c r="J5" s="24" t="s">
        <v>13</v>
      </c>
      <c r="K5" s="38"/>
      <c r="L5" s="38"/>
      <c r="M5" s="38" t="s">
        <v>55</v>
      </c>
      <c r="N5" t="s">
        <v>38</v>
      </c>
    </row>
    <row r="6" spans="1:17" ht="24.95" customHeight="1" x14ac:dyDescent="0.25">
      <c r="A6" s="52" t="s">
        <v>32</v>
      </c>
      <c r="B6" s="53" t="s">
        <v>33</v>
      </c>
      <c r="C6" s="8" t="s">
        <v>24</v>
      </c>
      <c r="D6" s="9">
        <v>630</v>
      </c>
      <c r="E6" s="10">
        <v>1179</v>
      </c>
      <c r="F6" s="21">
        <f>E6/D6</f>
        <v>1.8714285714285714</v>
      </c>
      <c r="G6" s="66" t="s">
        <v>18</v>
      </c>
      <c r="H6" s="67">
        <f>E6+100</f>
        <v>1279</v>
      </c>
      <c r="I6" s="68">
        <f>H6/D6</f>
        <v>2.0301587301587301</v>
      </c>
      <c r="J6" s="69" t="s">
        <v>10</v>
      </c>
      <c r="L6" t="s">
        <v>52</v>
      </c>
      <c r="M6" s="38" t="s">
        <v>56</v>
      </c>
      <c r="N6" t="s">
        <v>37</v>
      </c>
    </row>
    <row r="7" spans="1:17" ht="24.95" customHeight="1" x14ac:dyDescent="0.25">
      <c r="A7" s="52"/>
      <c r="B7" s="53"/>
      <c r="C7" s="8" t="s">
        <v>25</v>
      </c>
      <c r="D7" s="9">
        <v>900</v>
      </c>
      <c r="E7" s="10">
        <v>1449</v>
      </c>
      <c r="F7" s="21">
        <f>E7/D7</f>
        <v>1.61</v>
      </c>
      <c r="G7" s="66"/>
      <c r="H7" s="67"/>
      <c r="I7" s="68"/>
      <c r="J7" s="69"/>
    </row>
    <row r="8" spans="1:17" ht="24.95" customHeight="1" x14ac:dyDescent="0.25">
      <c r="A8" s="55" t="s">
        <v>34</v>
      </c>
      <c r="B8" s="55" t="s">
        <v>36</v>
      </c>
      <c r="C8" s="61" t="s">
        <v>25</v>
      </c>
      <c r="D8" s="62">
        <v>829</v>
      </c>
      <c r="E8" s="63">
        <v>1359</v>
      </c>
      <c r="F8" s="64">
        <f>E8/D8</f>
        <v>1.6393244873341375</v>
      </c>
      <c r="G8" t="s">
        <v>19</v>
      </c>
      <c r="H8" s="28" t="e">
        <f>#REF!+175</f>
        <v>#REF!</v>
      </c>
      <c r="I8" s="26" t="e">
        <f>H8/#REF!</f>
        <v>#REF!</v>
      </c>
      <c r="J8" t="s">
        <v>12</v>
      </c>
      <c r="M8" s="38" t="s">
        <v>57</v>
      </c>
      <c r="N8" s="39" t="s">
        <v>35</v>
      </c>
    </row>
    <row r="9" spans="1:17" ht="24.95" customHeight="1" x14ac:dyDescent="0.25">
      <c r="A9" s="55"/>
      <c r="B9" s="55"/>
      <c r="C9" s="61"/>
      <c r="D9" s="62"/>
      <c r="E9" s="63"/>
      <c r="F9" s="64"/>
      <c r="G9" t="s">
        <v>19</v>
      </c>
      <c r="H9" s="28">
        <f>E8+175</f>
        <v>1534</v>
      </c>
      <c r="I9" s="26">
        <f>H9/D8</f>
        <v>1.8504221954161642</v>
      </c>
      <c r="J9" t="s">
        <v>12</v>
      </c>
    </row>
    <row r="10" spans="1:17" ht="24.95" customHeight="1" x14ac:dyDescent="0.25">
      <c r="A10" s="52" t="s">
        <v>39</v>
      </c>
      <c r="B10" s="53" t="s">
        <v>40</v>
      </c>
      <c r="C10" s="20" t="s">
        <v>24</v>
      </c>
      <c r="D10" s="20">
        <v>643</v>
      </c>
      <c r="E10" s="43">
        <v>1300</v>
      </c>
      <c r="F10" s="44">
        <f>E10/D10</f>
        <v>2.0217729393468118</v>
      </c>
      <c r="G10" s="24" t="s">
        <v>20</v>
      </c>
      <c r="H10" s="31" t="e">
        <f>#REF!+170</f>
        <v>#REF!</v>
      </c>
      <c r="I10" s="27" t="e">
        <f>H10/#REF!</f>
        <v>#REF!</v>
      </c>
      <c r="J10" s="24" t="s">
        <v>14</v>
      </c>
      <c r="K10" s="65" t="s">
        <v>48</v>
      </c>
      <c r="L10" s="38"/>
      <c r="M10" s="38" t="s">
        <v>58</v>
      </c>
      <c r="N10" t="s">
        <v>41</v>
      </c>
    </row>
    <row r="11" spans="1:17" ht="24.95" customHeight="1" x14ac:dyDescent="0.25">
      <c r="A11" s="52"/>
      <c r="B11" s="53"/>
      <c r="C11" s="8" t="s">
        <v>25</v>
      </c>
      <c r="D11" s="40">
        <v>875</v>
      </c>
      <c r="E11" s="41">
        <v>1475</v>
      </c>
      <c r="F11" s="42">
        <f>E11/D11</f>
        <v>1.6857142857142857</v>
      </c>
      <c r="G11" s="24"/>
      <c r="H11" s="31"/>
      <c r="I11" s="27"/>
      <c r="J11" s="24"/>
      <c r="K11" s="65"/>
      <c r="L11" s="38"/>
      <c r="M11" s="38" t="s">
        <v>59</v>
      </c>
    </row>
    <row r="12" spans="1:17" ht="24" customHeight="1" x14ac:dyDescent="0.25">
      <c r="A12" s="60" t="s">
        <v>22</v>
      </c>
      <c r="B12" s="60" t="s">
        <v>26</v>
      </c>
      <c r="C12" s="11" t="s">
        <v>23</v>
      </c>
      <c r="D12" s="12">
        <v>350</v>
      </c>
      <c r="E12" s="13">
        <v>1000</v>
      </c>
      <c r="F12" s="14">
        <f>E12/D12</f>
        <v>2.8571428571428572</v>
      </c>
      <c r="G12" s="15" t="s">
        <v>8</v>
      </c>
      <c r="H12" s="29">
        <f>E12+125</f>
        <v>1125</v>
      </c>
      <c r="I12" s="25">
        <f>H12/D12</f>
        <v>3.2142857142857144</v>
      </c>
    </row>
    <row r="13" spans="1:17" ht="30" customHeight="1" thickBot="1" x14ac:dyDescent="0.3">
      <c r="A13" s="60"/>
      <c r="B13" s="60"/>
      <c r="C13" s="16" t="s">
        <v>24</v>
      </c>
      <c r="D13" s="17">
        <v>565</v>
      </c>
      <c r="E13" s="18">
        <v>1083</v>
      </c>
      <c r="F13" s="14">
        <f t="shared" ref="F13:F14" si="0">E13/D13</f>
        <v>1.9168141592920354</v>
      </c>
      <c r="G13" s="15" t="s">
        <v>8</v>
      </c>
      <c r="H13" s="30">
        <f>E13+125</f>
        <v>1208</v>
      </c>
      <c r="I13" s="25">
        <f>H13/D13</f>
        <v>2.1380530973451326</v>
      </c>
    </row>
    <row r="14" spans="1:17" ht="27.75" customHeight="1" thickBot="1" x14ac:dyDescent="0.3">
      <c r="A14" s="60"/>
      <c r="B14" s="60"/>
      <c r="C14" s="11" t="s">
        <v>25</v>
      </c>
      <c r="D14" s="12">
        <v>938</v>
      </c>
      <c r="E14" s="13">
        <v>1344</v>
      </c>
      <c r="F14" s="14">
        <f t="shared" si="0"/>
        <v>1.4328358208955223</v>
      </c>
      <c r="G14" s="15" t="s">
        <v>8</v>
      </c>
      <c r="H14" s="30">
        <f t="shared" ref="H14" si="1">E14+125</f>
        <v>1469</v>
      </c>
      <c r="I14" s="25">
        <f>H14/D14</f>
        <v>1.5660980810234542</v>
      </c>
      <c r="K14" t="s">
        <v>49</v>
      </c>
    </row>
    <row r="15" spans="1:17" ht="20.100000000000001" customHeight="1" x14ac:dyDescent="0.25">
      <c r="B15"/>
      <c r="C15"/>
      <c r="D15"/>
      <c r="E15"/>
      <c r="F15"/>
    </row>
    <row r="16" spans="1:17" ht="20.100000000000001" customHeight="1" x14ac:dyDescent="0.25">
      <c r="B16"/>
      <c r="C16"/>
      <c r="D16"/>
      <c r="E16"/>
      <c r="F16"/>
      <c r="N16" s="34" t="s">
        <v>42</v>
      </c>
      <c r="O16" t="s">
        <v>44</v>
      </c>
      <c r="P16" t="s">
        <v>45</v>
      </c>
      <c r="Q16" t="s">
        <v>46</v>
      </c>
    </row>
    <row r="17" spans="1:17" ht="20.100000000000001" customHeight="1" x14ac:dyDescent="0.25">
      <c r="B17"/>
      <c r="D17"/>
      <c r="E17"/>
      <c r="F17"/>
      <c r="N17" s="35" t="s">
        <v>24</v>
      </c>
      <c r="O17" s="90">
        <v>667.66666666666663</v>
      </c>
      <c r="P17" s="37">
        <v>1191</v>
      </c>
      <c r="Q17" s="23">
        <v>1.8456624884923165</v>
      </c>
    </row>
    <row r="18" spans="1:17" ht="20.100000000000001" customHeight="1" x14ac:dyDescent="0.25">
      <c r="B18"/>
      <c r="C18"/>
      <c r="D18"/>
      <c r="E18"/>
      <c r="F18"/>
      <c r="N18" s="35" t="s">
        <v>25</v>
      </c>
      <c r="O18" s="90">
        <v>874.66666666666663</v>
      </c>
      <c r="P18" s="37">
        <v>1388.5</v>
      </c>
      <c r="Q18" s="23">
        <v>1.6045130568126593</v>
      </c>
    </row>
    <row r="19" spans="1:17" ht="20.100000000000001" customHeight="1" x14ac:dyDescent="0.25">
      <c r="B19"/>
      <c r="D19"/>
      <c r="E19"/>
      <c r="F19"/>
      <c r="N19" s="35" t="s">
        <v>43</v>
      </c>
      <c r="O19" s="36">
        <v>805.66666666666663</v>
      </c>
      <c r="P19" s="37">
        <v>1322.6666666666667</v>
      </c>
      <c r="Q19" s="23">
        <v>1.6848962007058783</v>
      </c>
    </row>
    <row r="20" spans="1:17" ht="20.100000000000001" customHeight="1" x14ac:dyDescent="0.25">
      <c r="B20"/>
      <c r="C20"/>
      <c r="D20"/>
      <c r="E20"/>
      <c r="F20"/>
    </row>
    <row r="21" spans="1:17" ht="20.100000000000001" customHeight="1" x14ac:dyDescent="0.25">
      <c r="B21"/>
      <c r="C21"/>
      <c r="D21"/>
      <c r="E21"/>
      <c r="F21"/>
    </row>
    <row r="22" spans="1:17" ht="20.100000000000001" customHeight="1" x14ac:dyDescent="0.25">
      <c r="B22"/>
      <c r="C22"/>
      <c r="D22"/>
      <c r="E22"/>
      <c r="F22"/>
      <c r="N22" s="34" t="s">
        <v>60</v>
      </c>
      <c r="O22" t="s">
        <v>44</v>
      </c>
      <c r="P22" t="s">
        <v>45</v>
      </c>
      <c r="Q22" t="s">
        <v>46</v>
      </c>
    </row>
    <row r="23" spans="1:17" ht="20.100000000000001" customHeight="1" x14ac:dyDescent="0.25">
      <c r="B23"/>
      <c r="C23"/>
      <c r="D23"/>
      <c r="E23"/>
      <c r="F23"/>
      <c r="N23" s="35" t="s">
        <v>24</v>
      </c>
      <c r="O23" s="36">
        <v>657.66666666666663</v>
      </c>
      <c r="P23" s="36">
        <v>1270.6666666666667</v>
      </c>
      <c r="Q23" s="45">
        <v>1.9324957416870323</v>
      </c>
    </row>
    <row r="24" spans="1:17" ht="20.100000000000001" customHeight="1" x14ac:dyDescent="0.25">
      <c r="B24"/>
      <c r="C24"/>
      <c r="D24"/>
      <c r="E24"/>
      <c r="F24"/>
      <c r="N24" s="35" t="s">
        <v>25</v>
      </c>
      <c r="O24" s="36">
        <v>901.25</v>
      </c>
      <c r="P24" s="36">
        <v>1419.5</v>
      </c>
      <c r="Q24" s="45">
        <v>1.5821612916637042</v>
      </c>
    </row>
    <row r="25" spans="1:17" ht="20.100000000000001" customHeight="1" x14ac:dyDescent="0.25">
      <c r="B25"/>
      <c r="C25"/>
      <c r="D25"/>
      <c r="E25"/>
      <c r="F25"/>
      <c r="N25" s="35" t="s">
        <v>43</v>
      </c>
      <c r="O25" s="36">
        <v>796.85714285714289</v>
      </c>
      <c r="P25" s="36">
        <v>1355.7142857142858</v>
      </c>
      <c r="Q25" s="45">
        <v>1.7323046273879876</v>
      </c>
    </row>
    <row r="26" spans="1:17" x14ac:dyDescent="0.25">
      <c r="B26"/>
      <c r="C26"/>
      <c r="D26"/>
      <c r="E26"/>
      <c r="F26"/>
    </row>
    <row r="27" spans="1:17" x14ac:dyDescent="0.25">
      <c r="B27"/>
      <c r="C27"/>
      <c r="D27"/>
      <c r="E27"/>
      <c r="F27"/>
    </row>
    <row r="28" spans="1:17" x14ac:dyDescent="0.25">
      <c r="B28"/>
      <c r="C28"/>
      <c r="D28"/>
    </row>
    <row r="29" spans="1:17" s="19" customFormat="1" x14ac:dyDescent="0.25">
      <c r="A29"/>
      <c r="B29"/>
      <c r="C29"/>
      <c r="D29"/>
      <c r="F29" s="20"/>
      <c r="G29"/>
      <c r="H29"/>
      <c r="I29" s="23"/>
      <c r="J29"/>
      <c r="N29"/>
      <c r="O29"/>
      <c r="P29"/>
    </row>
  </sheetData>
  <mergeCells count="26">
    <mergeCell ref="H6:H7"/>
    <mergeCell ref="I6:I7"/>
    <mergeCell ref="J6:J7"/>
    <mergeCell ref="A1:F1"/>
    <mergeCell ref="A3:A4"/>
    <mergeCell ref="B3:B4"/>
    <mergeCell ref="C3:C4"/>
    <mergeCell ref="D3:D4"/>
    <mergeCell ref="E3:E4"/>
    <mergeCell ref="F3:F4"/>
    <mergeCell ref="K10:K11"/>
    <mergeCell ref="A12:A14"/>
    <mergeCell ref="B12:B14"/>
    <mergeCell ref="L3:L4"/>
    <mergeCell ref="A10:A11"/>
    <mergeCell ref="B10:B11"/>
    <mergeCell ref="A8:A9"/>
    <mergeCell ref="B8:B9"/>
    <mergeCell ref="C8:C9"/>
    <mergeCell ref="D8:D9"/>
    <mergeCell ref="E8:E9"/>
    <mergeCell ref="F8:F9"/>
    <mergeCell ref="K3:K4"/>
    <mergeCell ref="A6:A7"/>
    <mergeCell ref="B6:B7"/>
    <mergeCell ref="G6:G7"/>
  </mergeCells>
  <hyperlinks>
    <hyperlink ref="N8" r:id="rId3" xr:uid="{3A71780F-1B3F-4976-8E25-C8C083C06C81}"/>
  </hyperlinks>
  <pageMargins left="0.7" right="0.7" top="0.75" bottom="0.75" header="0.3" footer="0.3"/>
  <pageSetup scale="61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012E-074F-4235-ACA0-F834E8931620}">
  <sheetPr>
    <pageSetUpPr fitToPage="1"/>
  </sheetPr>
  <dimension ref="A1:O32"/>
  <sheetViews>
    <sheetView tabSelected="1" zoomScaleNormal="100" workbookViewId="0">
      <selection activeCell="E19" sqref="E19"/>
    </sheetView>
  </sheetViews>
  <sheetFormatPr defaultRowHeight="15" x14ac:dyDescent="0.25"/>
  <cols>
    <col min="1" max="1" width="22.140625" customWidth="1"/>
    <col min="2" max="2" width="23.28515625" style="20" bestFit="1" customWidth="1"/>
    <col min="3" max="3" width="24.85546875" style="20" bestFit="1" customWidth="1"/>
    <col min="4" max="4" width="12" style="20" customWidth="1"/>
    <col min="5" max="5" width="14.28515625" style="19" customWidth="1"/>
    <col min="6" max="6" width="9" style="20" bestFit="1" customWidth="1"/>
    <col min="7" max="7" width="17.140625" hidden="1" customWidth="1"/>
    <col min="8" max="8" width="15.42578125" hidden="1" customWidth="1"/>
    <col min="9" max="9" width="11.7109375" style="23" hidden="1" customWidth="1"/>
    <col min="10" max="10" width="66.28515625" hidden="1" customWidth="1"/>
    <col min="11" max="11" width="31.28515625" customWidth="1"/>
    <col min="12" max="13" width="13.140625" bestFit="1" customWidth="1"/>
    <col min="14" max="14" width="21.5703125" bestFit="1" customWidth="1"/>
    <col min="15" max="15" width="19" bestFit="1" customWidth="1"/>
  </cols>
  <sheetData>
    <row r="1" spans="1:12" ht="87.75" customHeight="1" x14ac:dyDescent="0.25">
      <c r="A1" s="49" t="s">
        <v>21</v>
      </c>
      <c r="B1" s="50"/>
      <c r="C1" s="50"/>
      <c r="D1" s="50"/>
      <c r="E1" s="50"/>
      <c r="F1" s="51"/>
    </row>
    <row r="2" spans="1:12" ht="36" customHeight="1" x14ac:dyDescent="0.25">
      <c r="A2" s="1" t="s">
        <v>0</v>
      </c>
      <c r="B2" s="72" t="s">
        <v>1</v>
      </c>
      <c r="C2" s="72" t="s">
        <v>2</v>
      </c>
      <c r="D2" s="72" t="s">
        <v>3</v>
      </c>
      <c r="E2" s="3" t="s">
        <v>4</v>
      </c>
      <c r="F2" s="73" t="s">
        <v>5</v>
      </c>
      <c r="G2" s="3" t="s">
        <v>6</v>
      </c>
      <c r="H2" s="4" t="s">
        <v>7</v>
      </c>
      <c r="I2" s="3" t="s">
        <v>16</v>
      </c>
      <c r="J2" s="3" t="s">
        <v>9</v>
      </c>
      <c r="K2" s="3" t="s">
        <v>9</v>
      </c>
      <c r="L2" s="3" t="s">
        <v>29</v>
      </c>
    </row>
    <row r="3" spans="1:12" ht="24.95" customHeight="1" x14ac:dyDescent="0.25">
      <c r="A3" s="52" t="s">
        <v>68</v>
      </c>
      <c r="B3" s="74" t="s">
        <v>69</v>
      </c>
      <c r="C3" s="75" t="s">
        <v>24</v>
      </c>
      <c r="D3" s="76">
        <v>523</v>
      </c>
      <c r="E3" s="10">
        <v>1199</v>
      </c>
      <c r="F3" s="21">
        <f>E3/D3</f>
        <v>2.2925430210325048</v>
      </c>
      <c r="G3" t="s">
        <v>17</v>
      </c>
      <c r="H3" s="28" t="e">
        <f>#REF!+225</f>
        <v>#REF!</v>
      </c>
      <c r="I3" s="26" t="e">
        <f>H3/#REF!</f>
        <v>#REF!</v>
      </c>
      <c r="J3" t="s">
        <v>11</v>
      </c>
    </row>
    <row r="4" spans="1:12" ht="24.95" customHeight="1" x14ac:dyDescent="0.25">
      <c r="A4" s="52"/>
      <c r="B4" s="74"/>
      <c r="C4" s="75" t="s">
        <v>25</v>
      </c>
      <c r="D4" s="76">
        <v>718</v>
      </c>
      <c r="E4" s="10">
        <v>1429</v>
      </c>
      <c r="F4" s="21">
        <f>E4/D4</f>
        <v>1.99025069637883</v>
      </c>
      <c r="G4" t="s">
        <v>17</v>
      </c>
      <c r="H4" s="28">
        <f>E3+225</f>
        <v>1424</v>
      </c>
      <c r="I4" s="26">
        <f>H4/D3</f>
        <v>2.7227533460803057</v>
      </c>
      <c r="J4" t="s">
        <v>11</v>
      </c>
    </row>
    <row r="5" spans="1:12" ht="24.95" customHeight="1" x14ac:dyDescent="0.25">
      <c r="A5" s="54" t="s">
        <v>70</v>
      </c>
      <c r="B5" s="77" t="s">
        <v>71</v>
      </c>
      <c r="C5" s="78" t="s">
        <v>24</v>
      </c>
      <c r="D5" s="79">
        <v>850</v>
      </c>
      <c r="E5" s="7">
        <v>1275</v>
      </c>
      <c r="F5" s="22">
        <f t="shared" ref="F5:F6" si="0">E5/D5</f>
        <v>1.5</v>
      </c>
      <c r="G5" s="24" t="s">
        <v>18</v>
      </c>
      <c r="H5" s="31">
        <f>E5+100</f>
        <v>1375</v>
      </c>
      <c r="I5" s="27">
        <f t="shared" ref="I5:I17" si="1">H5/D5</f>
        <v>1.6176470588235294</v>
      </c>
      <c r="J5" s="24" t="s">
        <v>13</v>
      </c>
      <c r="K5" s="65"/>
      <c r="L5" t="s">
        <v>38</v>
      </c>
    </row>
    <row r="6" spans="1:12" ht="24.95" customHeight="1" x14ac:dyDescent="0.25">
      <c r="A6" s="54"/>
      <c r="B6" s="77"/>
      <c r="C6" s="78" t="s">
        <v>25</v>
      </c>
      <c r="D6" s="79">
        <v>925</v>
      </c>
      <c r="E6" s="7">
        <v>1437</v>
      </c>
      <c r="F6" s="22">
        <f t="shared" si="0"/>
        <v>1.5535135135135134</v>
      </c>
      <c r="G6" s="24" t="s">
        <v>18</v>
      </c>
      <c r="H6" s="31">
        <f>E6+100</f>
        <v>1537</v>
      </c>
      <c r="I6" s="27">
        <f t="shared" si="1"/>
        <v>1.6616216216216215</v>
      </c>
      <c r="J6" s="24" t="s">
        <v>13</v>
      </c>
      <c r="K6" s="65"/>
    </row>
    <row r="7" spans="1:12" ht="24.95" customHeight="1" x14ac:dyDescent="0.25">
      <c r="A7" s="52" t="s">
        <v>32</v>
      </c>
      <c r="B7" s="74" t="s">
        <v>72</v>
      </c>
      <c r="C7" s="75" t="s">
        <v>24</v>
      </c>
      <c r="D7" s="76">
        <v>630</v>
      </c>
      <c r="E7" s="10">
        <v>1099</v>
      </c>
      <c r="F7" s="21">
        <f t="shared" ref="F7:F8" si="2">E7/D7</f>
        <v>1.7444444444444445</v>
      </c>
      <c r="G7" s="71" t="s">
        <v>18</v>
      </c>
      <c r="H7" s="67">
        <f>E7+100</f>
        <v>1199</v>
      </c>
      <c r="I7" s="68">
        <f>H7/D7</f>
        <v>1.9031746031746031</v>
      </c>
      <c r="J7" s="69" t="s">
        <v>10</v>
      </c>
      <c r="L7" t="s">
        <v>37</v>
      </c>
    </row>
    <row r="8" spans="1:12" ht="24.95" customHeight="1" x14ac:dyDescent="0.25">
      <c r="A8" s="52"/>
      <c r="B8" s="74"/>
      <c r="C8" s="75" t="s">
        <v>25</v>
      </c>
      <c r="D8" s="76">
        <v>900</v>
      </c>
      <c r="E8" s="10">
        <v>1449</v>
      </c>
      <c r="F8" s="21">
        <f t="shared" si="2"/>
        <v>1.61</v>
      </c>
      <c r="G8" s="71"/>
      <c r="H8" s="67"/>
      <c r="I8" s="68"/>
      <c r="J8" s="69"/>
    </row>
    <row r="9" spans="1:12" ht="24.95" customHeight="1" x14ac:dyDescent="0.25">
      <c r="A9" s="54" t="s">
        <v>34</v>
      </c>
      <c r="B9" s="77" t="s">
        <v>73</v>
      </c>
      <c r="C9" s="80" t="s">
        <v>25</v>
      </c>
      <c r="D9" s="81">
        <v>829</v>
      </c>
      <c r="E9" s="63">
        <v>1329</v>
      </c>
      <c r="F9" s="64">
        <f>E9/D9</f>
        <v>1.6031363088057902</v>
      </c>
      <c r="G9" t="s">
        <v>19</v>
      </c>
      <c r="H9" s="28" t="e">
        <f>#REF!+175</f>
        <v>#REF!</v>
      </c>
      <c r="I9" s="26" t="e">
        <f>H9/#REF!</f>
        <v>#REF!</v>
      </c>
      <c r="J9" t="s">
        <v>12</v>
      </c>
      <c r="L9" s="39" t="s">
        <v>35</v>
      </c>
    </row>
    <row r="10" spans="1:12" ht="24.95" customHeight="1" x14ac:dyDescent="0.25">
      <c r="A10" s="54"/>
      <c r="B10" s="77"/>
      <c r="C10" s="80"/>
      <c r="D10" s="81"/>
      <c r="E10" s="63"/>
      <c r="F10" s="64"/>
      <c r="G10" t="s">
        <v>19</v>
      </c>
      <c r="H10" s="28">
        <f>E9+175</f>
        <v>1504</v>
      </c>
      <c r="I10" s="26">
        <f>H10/D9</f>
        <v>1.8142340168878166</v>
      </c>
      <c r="J10" t="s">
        <v>12</v>
      </c>
    </row>
    <row r="11" spans="1:12" ht="24.95" customHeight="1" x14ac:dyDescent="0.25">
      <c r="A11" s="52" t="s">
        <v>39</v>
      </c>
      <c r="B11" s="74" t="s">
        <v>74</v>
      </c>
      <c r="C11" s="82" t="s">
        <v>25</v>
      </c>
      <c r="D11" s="83">
        <v>875</v>
      </c>
      <c r="E11" s="58">
        <v>1292</v>
      </c>
      <c r="F11" s="59">
        <f>E11/D11</f>
        <v>1.4765714285714286</v>
      </c>
      <c r="G11" s="24" t="s">
        <v>20</v>
      </c>
      <c r="H11" s="31" t="e">
        <f>#REF!+170</f>
        <v>#REF!</v>
      </c>
      <c r="I11" s="27" t="e">
        <f>H11/#REF!</f>
        <v>#REF!</v>
      </c>
      <c r="J11" s="24" t="s">
        <v>14</v>
      </c>
      <c r="K11" s="65" t="s">
        <v>48</v>
      </c>
      <c r="L11" t="s">
        <v>41</v>
      </c>
    </row>
    <row r="12" spans="1:12" ht="24.95" customHeight="1" x14ac:dyDescent="0.25">
      <c r="A12" s="52"/>
      <c r="B12" s="74"/>
      <c r="C12" s="82"/>
      <c r="D12" s="83"/>
      <c r="E12" s="58"/>
      <c r="F12" s="59"/>
      <c r="G12" s="24"/>
      <c r="H12" s="31"/>
      <c r="I12" s="27"/>
      <c r="J12" s="24"/>
      <c r="K12" s="65"/>
    </row>
    <row r="13" spans="1:12" ht="24.95" customHeight="1" x14ac:dyDescent="0.25">
      <c r="A13" s="54" t="s">
        <v>27</v>
      </c>
      <c r="B13" s="77" t="s">
        <v>28</v>
      </c>
      <c r="C13" s="80" t="s">
        <v>25</v>
      </c>
      <c r="D13" s="81">
        <v>1001</v>
      </c>
      <c r="E13" s="63">
        <v>1395</v>
      </c>
      <c r="F13" s="64">
        <f>E13/D13</f>
        <v>1.3936063936063936</v>
      </c>
      <c r="G13" s="24"/>
      <c r="H13" s="31"/>
      <c r="I13" s="27"/>
      <c r="J13" s="24"/>
      <c r="K13" s="65" t="s">
        <v>47</v>
      </c>
      <c r="L13" t="s">
        <v>30</v>
      </c>
    </row>
    <row r="14" spans="1:12" ht="24.95" customHeight="1" x14ac:dyDescent="0.25">
      <c r="A14" s="54"/>
      <c r="B14" s="77"/>
      <c r="C14" s="80"/>
      <c r="D14" s="81"/>
      <c r="E14" s="63"/>
      <c r="F14" s="64"/>
      <c r="G14" s="24" t="s">
        <v>20</v>
      </c>
      <c r="H14" s="31">
        <f>E11+170</f>
        <v>1462</v>
      </c>
      <c r="I14" s="27">
        <f>H14/D11</f>
        <v>1.6708571428571428</v>
      </c>
      <c r="J14" s="24" t="s">
        <v>15</v>
      </c>
      <c r="K14" s="65"/>
    </row>
    <row r="15" spans="1:12" ht="24" customHeight="1" x14ac:dyDescent="0.25">
      <c r="A15" s="84" t="s">
        <v>22</v>
      </c>
      <c r="B15" s="85" t="s">
        <v>75</v>
      </c>
      <c r="C15" s="70" t="s">
        <v>23</v>
      </c>
      <c r="D15" s="12">
        <v>350</v>
      </c>
      <c r="E15" s="13">
        <v>1000</v>
      </c>
      <c r="F15" s="86">
        <f>E15/D15</f>
        <v>2.8571428571428572</v>
      </c>
      <c r="G15" s="15" t="s">
        <v>8</v>
      </c>
      <c r="H15" s="29">
        <f>E15+125</f>
        <v>1125</v>
      </c>
      <c r="I15" s="25">
        <f t="shared" si="1"/>
        <v>3.2142857142857144</v>
      </c>
    </row>
    <row r="16" spans="1:12" ht="30" customHeight="1" thickBot="1" x14ac:dyDescent="0.3">
      <c r="A16" s="84"/>
      <c r="B16" s="85"/>
      <c r="C16" s="70" t="s">
        <v>24</v>
      </c>
      <c r="D16" s="12">
        <v>565</v>
      </c>
      <c r="E16" s="13">
        <v>1100</v>
      </c>
      <c r="F16" s="86">
        <f t="shared" ref="F16:F17" si="3">E16/D16</f>
        <v>1.9469026548672566</v>
      </c>
      <c r="G16" s="15" t="s">
        <v>8</v>
      </c>
      <c r="H16" s="30">
        <f>E16+125</f>
        <v>1225</v>
      </c>
      <c r="I16" s="25">
        <f t="shared" si="1"/>
        <v>2.168141592920354</v>
      </c>
    </row>
    <row r="17" spans="1:15" ht="27.75" customHeight="1" thickBot="1" x14ac:dyDescent="0.3">
      <c r="A17" s="87"/>
      <c r="B17" s="88"/>
      <c r="C17" s="16" t="s">
        <v>25</v>
      </c>
      <c r="D17" s="17">
        <v>938</v>
      </c>
      <c r="E17" s="18">
        <v>1373</v>
      </c>
      <c r="F17" s="89">
        <f t="shared" si="3"/>
        <v>1.4637526652452026</v>
      </c>
      <c r="G17" s="15" t="s">
        <v>8</v>
      </c>
      <c r="H17" s="30">
        <f t="shared" ref="H17" si="4">E17+125</f>
        <v>1498</v>
      </c>
      <c r="I17" s="25">
        <f t="shared" si="1"/>
        <v>1.5970149253731343</v>
      </c>
      <c r="K17" t="s">
        <v>49</v>
      </c>
    </row>
    <row r="18" spans="1:15" ht="20.100000000000001" customHeight="1" x14ac:dyDescent="0.25">
      <c r="B18"/>
      <c r="C18"/>
      <c r="D18"/>
      <c r="E18"/>
      <c r="F18"/>
    </row>
    <row r="19" spans="1:15" ht="20.100000000000001" customHeight="1" x14ac:dyDescent="0.25">
      <c r="B19"/>
      <c r="C19"/>
      <c r="D19"/>
      <c r="E19"/>
      <c r="F19"/>
      <c r="L19" s="34" t="s">
        <v>42</v>
      </c>
      <c r="M19" t="s">
        <v>44</v>
      </c>
      <c r="N19" t="s">
        <v>45</v>
      </c>
      <c r="O19" t="s">
        <v>46</v>
      </c>
    </row>
    <row r="20" spans="1:15" ht="20.100000000000001" customHeight="1" x14ac:dyDescent="0.25">
      <c r="B20"/>
      <c r="D20"/>
      <c r="E20"/>
      <c r="F20"/>
      <c r="L20" s="35" t="s">
        <v>24</v>
      </c>
      <c r="M20" s="90">
        <v>667.66666666666663</v>
      </c>
      <c r="N20" s="37">
        <v>1191</v>
      </c>
      <c r="O20" s="23">
        <v>1.8456624884923165</v>
      </c>
    </row>
    <row r="21" spans="1:15" ht="20.100000000000001" customHeight="1" x14ac:dyDescent="0.25">
      <c r="B21"/>
      <c r="C21"/>
      <c r="D21"/>
      <c r="E21"/>
      <c r="F21"/>
      <c r="L21" s="35" t="s">
        <v>25</v>
      </c>
      <c r="M21" s="90">
        <v>874.66666666666663</v>
      </c>
      <c r="N21" s="37">
        <v>1388.5</v>
      </c>
      <c r="O21" s="23">
        <v>1.6045130568126593</v>
      </c>
    </row>
    <row r="22" spans="1:15" ht="20.100000000000001" customHeight="1" x14ac:dyDescent="0.25">
      <c r="B22"/>
      <c r="D22"/>
      <c r="E22"/>
      <c r="F22"/>
      <c r="L22" s="35" t="s">
        <v>43</v>
      </c>
      <c r="M22" s="36">
        <v>805.66666666666663</v>
      </c>
      <c r="N22" s="37">
        <v>1322.6666666666667</v>
      </c>
      <c r="O22" s="23">
        <v>1.6848962007058783</v>
      </c>
    </row>
    <row r="23" spans="1:15" ht="20.100000000000001" customHeight="1" x14ac:dyDescent="0.25">
      <c r="B23"/>
      <c r="C23"/>
      <c r="D23"/>
      <c r="E23"/>
      <c r="F23"/>
    </row>
    <row r="24" spans="1:15" ht="20.100000000000001" customHeight="1" x14ac:dyDescent="0.25">
      <c r="B24"/>
      <c r="C24"/>
      <c r="D24"/>
      <c r="E24"/>
      <c r="F24"/>
    </row>
    <row r="25" spans="1:15" ht="20.100000000000001" customHeight="1" x14ac:dyDescent="0.25">
      <c r="B25"/>
      <c r="C25"/>
      <c r="D25"/>
      <c r="E25"/>
      <c r="F25"/>
    </row>
    <row r="26" spans="1:15" ht="20.100000000000001" customHeight="1" x14ac:dyDescent="0.25">
      <c r="B26"/>
      <c r="C26"/>
      <c r="D26"/>
      <c r="E26"/>
      <c r="F26"/>
    </row>
    <row r="27" spans="1:15" ht="20.100000000000001" customHeight="1" x14ac:dyDescent="0.25">
      <c r="B27"/>
      <c r="C27"/>
      <c r="D27"/>
      <c r="E27"/>
      <c r="F27"/>
    </row>
    <row r="28" spans="1:15" ht="20.100000000000001" customHeight="1" x14ac:dyDescent="0.25">
      <c r="B28"/>
      <c r="C28"/>
      <c r="D28"/>
      <c r="E28"/>
      <c r="F28"/>
    </row>
    <row r="29" spans="1:15" x14ac:dyDescent="0.25">
      <c r="B29"/>
      <c r="C29"/>
      <c r="D29"/>
      <c r="E29"/>
      <c r="F29"/>
    </row>
    <row r="30" spans="1:15" x14ac:dyDescent="0.25">
      <c r="B30"/>
      <c r="C30"/>
      <c r="D30"/>
      <c r="E30"/>
      <c r="F30"/>
    </row>
    <row r="31" spans="1:15" x14ac:dyDescent="0.25">
      <c r="B31"/>
      <c r="C31"/>
      <c r="D31"/>
    </row>
    <row r="32" spans="1:15" s="19" customFormat="1" x14ac:dyDescent="0.25">
      <c r="A32"/>
      <c r="B32"/>
      <c r="C32"/>
      <c r="D32"/>
      <c r="F32" s="20"/>
      <c r="G32"/>
      <c r="H32"/>
      <c r="I32" s="23"/>
      <c r="J32"/>
      <c r="L32"/>
      <c r="M32"/>
      <c r="N32"/>
    </row>
  </sheetData>
  <mergeCells count="34">
    <mergeCell ref="K13:K14"/>
    <mergeCell ref="K5:K6"/>
    <mergeCell ref="G7:G8"/>
    <mergeCell ref="H7:H8"/>
    <mergeCell ref="I7:I8"/>
    <mergeCell ref="J7:J8"/>
    <mergeCell ref="K11:K12"/>
    <mergeCell ref="C9:C10"/>
    <mergeCell ref="D9:D10"/>
    <mergeCell ref="E9:E10"/>
    <mergeCell ref="F9:F10"/>
    <mergeCell ref="C11:C12"/>
    <mergeCell ref="D11:D12"/>
    <mergeCell ref="E11:E12"/>
    <mergeCell ref="F11:F12"/>
    <mergeCell ref="C13:C14"/>
    <mergeCell ref="D13:D14"/>
    <mergeCell ref="E13:E14"/>
    <mergeCell ref="F13:F14"/>
    <mergeCell ref="A15:A17"/>
    <mergeCell ref="A9:A10"/>
    <mergeCell ref="A7:A8"/>
    <mergeCell ref="B7:B8"/>
    <mergeCell ref="B9:B10"/>
    <mergeCell ref="B15:B17"/>
    <mergeCell ref="A11:A12"/>
    <mergeCell ref="B11:B12"/>
    <mergeCell ref="A13:A14"/>
    <mergeCell ref="B13:B14"/>
    <mergeCell ref="A1:F1"/>
    <mergeCell ref="A3:A4"/>
    <mergeCell ref="B3:B4"/>
    <mergeCell ref="A5:A6"/>
    <mergeCell ref="B5:B6"/>
  </mergeCells>
  <hyperlinks>
    <hyperlink ref="L9" r:id="rId2" xr:uid="{178FBC4A-60E3-4D72-8A86-1F129728BB30}"/>
  </hyperlinks>
  <pageMargins left="0.7" right="0.7" top="0.75" bottom="0.75" header="0.3" footer="0.3"/>
  <pageSetup scale="61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Castle Harbour RMS Aug update</vt:lpstr>
      <vt:lpstr>Castle Harbour RMS Aug comparis</vt:lpstr>
      <vt:lpstr>Castle Harbour RMS -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Mah, Neil (Avison Young - CA)</dc:creator>
  <cp:lastModifiedBy>Brannon Guenette</cp:lastModifiedBy>
  <dcterms:created xsi:type="dcterms:W3CDTF">2026-05-13T22:11:28Z</dcterms:created>
  <dcterms:modified xsi:type="dcterms:W3CDTF">2026-08-26T18:59:38Z</dcterms:modified>
</cp:coreProperties>
</file>