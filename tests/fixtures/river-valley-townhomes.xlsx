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458873134914/WOPIServiceId_TP_BOX_2/WOPIUserId_-/"/>
    </mc:Choice>
  </mc:AlternateContent>
  <xr:revisionPtr revIDLastSave="4" documentId="13_ncr:1_{F901AE86-F8F1-4ABE-B829-340A6A40D0A8}" xr6:coauthVersionLast="47" xr6:coauthVersionMax="47" xr10:uidLastSave="{5EFEEA9F-6525-49E4-9CFE-32E86AE11194}"/>
  <bookViews>
    <workbookView xWindow="38280" yWindow="-120" windowWidth="38640" windowHeight="21120" xr2:uid="{B7C7C999-F651-44C5-B872-474C89041370}"/>
  </bookViews>
  <sheets>
    <sheet name="River Valley Townhomes" sheetId="6" r:id="rId1"/>
  </sheets>
  <calcPr calcId="191029"/>
  <pivotCaches>
    <pivotCache cacheId="0" r:id="rId2"/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" i="6" l="1"/>
  <c r="H4" i="6"/>
  <c r="H12" i="6"/>
  <c r="H11" i="6"/>
  <c r="H10" i="6"/>
  <c r="H9" i="6"/>
  <c r="H8" i="6"/>
  <c r="H15" i="6"/>
  <c r="H16" i="6" l="1"/>
  <c r="H14" i="6"/>
  <c r="H7" i="6"/>
  <c r="H6" i="6"/>
  <c r="H5" i="6"/>
  <c r="H3" i="6"/>
</calcChain>
</file>

<file path=xl/sharedStrings.xml><?xml version="1.0" encoding="utf-8"?>
<sst xmlns="http://schemas.openxmlformats.org/spreadsheetml/2006/main" count="102" uniqueCount="68">
  <si>
    <t>Address</t>
  </si>
  <si>
    <t>Building Name</t>
  </si>
  <si>
    <t>Unit Type</t>
  </si>
  <si>
    <t>Year Built</t>
  </si>
  <si>
    <t>2 Bedroom/2.5 Bath</t>
  </si>
  <si>
    <t>2 Bedroom/1.5 Bath</t>
  </si>
  <si>
    <r>
      <rPr>
        <b/>
        <sz val="16"/>
        <color theme="1"/>
        <rFont val="Calibri"/>
        <family val="2"/>
        <scheme val="minor"/>
      </rPr>
      <t>Rental Market Survey</t>
    </r>
    <r>
      <rPr>
        <sz val="16"/>
        <color theme="1"/>
        <rFont val="Calibri"/>
        <family val="2"/>
        <scheme val="minor"/>
      </rPr>
      <t xml:space="preserve">
Glenora Townhomes
Edmonton, AB</t>
    </r>
  </si>
  <si>
    <t>2 Bedroom/1 Bath</t>
  </si>
  <si>
    <t>Unit Configuration</t>
  </si>
  <si>
    <t>Non-stacked</t>
  </si>
  <si>
    <t>Utility Charge</t>
  </si>
  <si>
    <t>Unit SF</t>
  </si>
  <si>
    <t>1 Month Free Rent (amortized over 13-month lease)</t>
  </si>
  <si>
    <t>Notes</t>
  </si>
  <si>
    <t>Link</t>
  </si>
  <si>
    <t>Link 2</t>
  </si>
  <si>
    <t>Contact Info</t>
  </si>
  <si>
    <t>2 Bedroom/2 Bath</t>
  </si>
  <si>
    <t>Ancillary Revenue</t>
  </si>
  <si>
    <t>Row Labels</t>
  </si>
  <si>
    <t>Grand Total</t>
  </si>
  <si>
    <t>Average of Gross Rental Rate</t>
  </si>
  <si>
    <t>Average of Unit SF</t>
  </si>
  <si>
    <t>Average of Gross Rent PSF</t>
  </si>
  <si>
    <t>Average of Net Rental Rate</t>
  </si>
  <si>
    <t>Average of Net Rent PSF</t>
  </si>
  <si>
    <t>River Valley Townhomes</t>
  </si>
  <si>
    <t>4519 101A Avenue NW</t>
  </si>
  <si>
    <t>1964/1967</t>
  </si>
  <si>
    <t>Hooke County</t>
  </si>
  <si>
    <t>1-33 Hooke Road NW</t>
  </si>
  <si>
    <t>Not included</t>
  </si>
  <si>
    <t>Surface Parking</t>
  </si>
  <si>
    <t>https://www.rentfaster.ca/properties/1-33-hooke-rd-nw-edmonton-455314</t>
  </si>
  <si>
    <t>3 Bed/1.5 Bath</t>
  </si>
  <si>
    <t>4 Bed/1.5 Bath</t>
  </si>
  <si>
    <t>Likely a renovated unit to command such a high rent - website has some wonderful modern suites, some non-updated like RVTH</t>
  </si>
  <si>
    <t>Cavell Ridge Townhomes</t>
  </si>
  <si>
    <t>1-15 Hyndman Cres NW</t>
  </si>
  <si>
    <t>3 Bed/1 Bath</t>
  </si>
  <si>
    <t>Property notes</t>
  </si>
  <si>
    <t>Suites have a mix of renovated and original</t>
  </si>
  <si>
    <t>Units look largely original from rentfaster</t>
  </si>
  <si>
    <t>https://www.rentfaster.ca/properties/1-15-hyndman-cres-nw-edmonton-456596</t>
  </si>
  <si>
    <t>163 Greenwood Village</t>
  </si>
  <si>
    <t>Greenwood Vilage - Sherwood Park</t>
  </si>
  <si>
    <t>2 Bed/1.5 Bath</t>
  </si>
  <si>
    <t>Mix of renovated and unrenovated - the 2 bedroom gap is due to renovated vs original</t>
  </si>
  <si>
    <t>https://www.rentfaster.ca/properties/163-greenwood-village-sherwood-park-450154</t>
  </si>
  <si>
    <t>Unfinished basements in this property, fenced yard with a storage shed</t>
  </si>
  <si>
    <t xml:space="preserve">Southwoods Village </t>
  </si>
  <si>
    <t>6621 96 Street NW</t>
  </si>
  <si>
    <t>1 Month free + 500 gift card on 1 yr lease</t>
  </si>
  <si>
    <t>https://www.rentfaster.ca/properties/6621-96-street-nw-edmonton-613010</t>
  </si>
  <si>
    <t>Looks very comparable, images online have renovated suites, unfinished basements.</t>
  </si>
  <si>
    <t>Carpets upstairs in bedrooms, vinyl floor replacements in kitchen, cabinets look updated</t>
  </si>
  <si>
    <t>Surface parking for complex</t>
  </si>
  <si>
    <t>Garden Court</t>
  </si>
  <si>
    <t>10211 Princess Elizabeth Avenue</t>
  </si>
  <si>
    <t>$90 Covered Parking, $60 Surface Parking</t>
  </si>
  <si>
    <t>https://www.rentfaster.ca/properties/10211-princess-elizabeth-avenue-nw-edmonton-568647</t>
  </si>
  <si>
    <t>Rental Rate</t>
  </si>
  <si>
    <t>Rent Psf</t>
  </si>
  <si>
    <t>2 Bed/1 Bath</t>
  </si>
  <si>
    <t>Average of Rental Rate</t>
  </si>
  <si>
    <t>Average of Rent Psf</t>
  </si>
  <si>
    <t>Survey uses partially renoed units for the RVTH rental rates, as they command the largest proportion of unit share</t>
  </si>
  <si>
    <t>Market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</si>
</sst>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0" fontId="6" fillId="3" borderId="0" xfId="2" applyNumberFormat="1" applyFont="1" applyFill="1" applyBorder="1" applyAlignment="1">
      <alignment horizontal="center" vertical="center"/>
    </xf>
    <xf numFmtId="164" fontId="6" fillId="3" borderId="0" xfId="1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44" fontId="1" fillId="3" borderId="0" xfId="1" applyFont="1" applyFill="1" applyBorder="1" applyAlignment="1">
      <alignment horizontal="center" vertical="center"/>
    </xf>
    <xf numFmtId="44" fontId="0" fillId="2" borderId="0" xfId="1" applyFont="1" applyFill="1" applyBorder="1" applyAlignment="1">
      <alignment horizontal="center" vertical="center"/>
    </xf>
    <xf numFmtId="44" fontId="6" fillId="3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7" xfId="2" applyNumberFormat="1" applyFont="1" applyFill="1" applyBorder="1" applyAlignment="1">
      <alignment horizontal="center" vertical="center"/>
    </xf>
    <xf numFmtId="164" fontId="6" fillId="3" borderId="7" xfId="1" applyNumberFormat="1" applyFont="1" applyFill="1" applyBorder="1" applyAlignment="1">
      <alignment horizontal="center" vertical="center"/>
    </xf>
    <xf numFmtId="44" fontId="6" fillId="3" borderId="7" xfId="1" applyFont="1" applyFill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 wrapText="1"/>
    </xf>
    <xf numFmtId="164" fontId="6" fillId="3" borderId="0" xfId="1" applyNumberFormat="1" applyFont="1" applyFill="1" applyBorder="1" applyAlignment="1">
      <alignment horizontal="center" vertical="center" wrapText="1"/>
    </xf>
    <xf numFmtId="164" fontId="6" fillId="3" borderId="7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4"/>
    <xf numFmtId="164" fontId="2" fillId="2" borderId="0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4" fontId="1" fillId="3" borderId="2" xfId="1" applyFont="1" applyFill="1" applyBorder="1" applyAlignment="1">
      <alignment horizontal="center" vertical="center"/>
    </xf>
    <xf numFmtId="44" fontId="1" fillId="3" borderId="3" xfId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1" fontId="0" fillId="0" borderId="0" xfId="0" applyNumberFormat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64" fontId="0" fillId="5" borderId="0" xfId="1" applyNumberFormat="1" applyFont="1" applyFill="1" applyBorder="1" applyAlignment="1">
      <alignment horizontal="center" vertical="center"/>
    </xf>
    <xf numFmtId="44" fontId="0" fillId="5" borderId="0" xfId="1" applyFont="1" applyFill="1" applyBorder="1" applyAlignment="1">
      <alignment horizontal="center" vertical="center"/>
    </xf>
    <xf numFmtId="164" fontId="0" fillId="5" borderId="0" xfId="1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64" fontId="6" fillId="3" borderId="5" xfId="1" applyNumberFormat="1" applyFont="1" applyFill="1" applyBorder="1" applyAlignment="1">
      <alignment horizontal="center" vertical="center" wrapText="1"/>
    </xf>
    <xf numFmtId="164" fontId="6" fillId="3" borderId="8" xfId="1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5">
    <cellStyle name="Comma" xfId="2" builtinId="3"/>
    <cellStyle name="Currency" xfId="1" builtinId="4"/>
    <cellStyle name="Hyperlink" xfId="4" builtinId="8"/>
    <cellStyle name="Normal" xfId="0" builtinId="0"/>
    <cellStyle name="Normal 2" xfId="3" xr:uid="{CA4BACFC-7AA7-4957-AF97-CE8AAAC80B34}"/>
  </cellStyles>
  <dxfs count="3">
    <dxf>
      <numFmt numFmtId="1" formatCode="0"/>
    </dxf>
    <dxf>
      <font>
        <color rgb="FF9C0006"/>
      </font>
      <fill>
        <patternFill>
          <bgColor rgb="FFFFC7CE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544154</xdr:colOff>
      <xdr:row>0</xdr:row>
      <xdr:rowOff>107951</xdr:rowOff>
    </xdr:from>
    <xdr:to>
      <xdr:col>1</xdr:col>
      <xdr:colOff>606656</xdr:colOff>
      <xdr:row>0</xdr:row>
      <xdr:rowOff>1009651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F0C7F-8D10-4D9B-96C5-41260B6B2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154" y="107951"/>
          <a:ext cx="1408702" cy="9017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mos, Tracy (Avison Young - CA)" refreshedDate="46150.449281712965" createdVersion="8" refreshedVersion="8" minRefreshableVersion="3" recordCount="5" xr:uid="{22075547-CD84-4C10-A5CB-3E6F5F4691B9}">
  <cacheSource type="worksheet">
    <worksheetSource ref="A2:K13" sheet="River Valley Townhomes"/>
  </cacheSource>
  <cacheFields count="14">
    <cacheField name="Building Name" numFmtId="0">
      <sharedItems/>
    </cacheField>
    <cacheField name="Unit Configuration" numFmtId="0">
      <sharedItems/>
    </cacheField>
    <cacheField name="Year Built" numFmtId="0">
      <sharedItems containsSemiMixedTypes="0" containsString="0" containsNumber="1" containsInteger="1" minValue="2023" maxValue="2025"/>
    </cacheField>
    <cacheField name="Address" numFmtId="0">
      <sharedItems/>
    </cacheField>
    <cacheField name="Unit Type" numFmtId="0">
      <sharedItems count="4">
        <s v="2 Bedroom/2.5 Bath"/>
        <s v="2 Bedroom/1.5 Bath"/>
        <s v="2 Bedroom/1 Bath"/>
        <s v="2 Bedroom/2 Bath"/>
      </sharedItems>
    </cacheField>
    <cacheField name="Unit SF" numFmtId="0">
      <sharedItems containsSemiMixedTypes="0" containsString="0" containsNumber="1" containsInteger="1" minValue="850" maxValue="1200"/>
    </cacheField>
    <cacheField name="Gross Rental Rate" numFmtId="164">
      <sharedItems containsSemiMixedTypes="0" containsString="0" containsNumber="1" containsInteger="1" minValue="1575" maxValue="2050"/>
    </cacheField>
    <cacheField name="Gross Rent PSF" numFmtId="44">
      <sharedItems containsSemiMixedTypes="0" containsString="0" containsNumber="1" minValue="1.6458333333333333" maxValue="1.8529411764705883"/>
    </cacheField>
    <cacheField name="Incentive" numFmtId="164">
      <sharedItems containsSemiMixedTypes="0" containsString="0" containsNumber="1" minValue="-157.91666666666666" maxValue="0"/>
    </cacheField>
    <cacheField name="Net Rental Rate" numFmtId="164">
      <sharedItems containsSemiMixedTypes="0" containsString="0" containsNumber="1" minValue="1575" maxValue="2050"/>
    </cacheField>
    <cacheField name="Net Rent PSF" numFmtId="44">
      <sharedItems containsSemiMixedTypes="0" containsString="0" containsNumber="1" minValue="1.5413339248742974" maxValue="1.8529411764705883"/>
    </cacheField>
    <cacheField name="Utility Charge" numFmtId="0">
      <sharedItems/>
    </cacheField>
    <cacheField name="Ancillary Revenue" numFmtId="0">
      <sharedItems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enette, Brannon (Avison Young - CA)" refreshedDate="46281.49134270833" createdVersion="8" refreshedVersion="8" minRefreshableVersion="3" recordCount="14" xr:uid="{BBC9C311-60B6-43F8-93C6-589CD96D1C38}">
  <cacheSource type="worksheet">
    <worksheetSource ref="A2:I16" sheet="River Valley Townhomes"/>
  </cacheSource>
  <cacheFields count="9">
    <cacheField name="Building Name" numFmtId="0">
      <sharedItems containsBlank="1"/>
    </cacheField>
    <cacheField name="Unit Configuration" numFmtId="0">
      <sharedItems containsBlank="1"/>
    </cacheField>
    <cacheField name="Year Built" numFmtId="0">
      <sharedItems containsBlank="1" containsMixedTypes="1" containsNumber="1" containsInteger="1" minValue="1960" maxValue="1986"/>
    </cacheField>
    <cacheField name="Address" numFmtId="0">
      <sharedItems containsBlank="1"/>
    </cacheField>
    <cacheField name="Unit Type" numFmtId="0">
      <sharedItems count="10">
        <s v="2 Bed/1.5 Bath"/>
        <s v="3 Bed/1.5 Bath"/>
        <s v="4 Bed/1.5 Bath"/>
        <s v="2 Bed/1 Bath"/>
        <s v="3 Bed/1 Bath"/>
        <s v="3 Bed/ 1 Bath" u="1"/>
        <s v="2 Bed/ 1.5 Bath" u="1"/>
        <s v="2 Bed/ 1 Bath" u="1"/>
        <s v="3 Bed/ 1.5 Bath" u="1"/>
        <s v="4 Bed/ 1.5 Bath" u="1"/>
      </sharedItems>
    </cacheField>
    <cacheField name="Unit SF" numFmtId="0">
      <sharedItems containsSemiMixedTypes="0" containsString="0" containsNumber="1" containsInteger="1" minValue="864" maxValue="1254"/>
    </cacheField>
    <cacheField name="Rental Rate" numFmtId="164">
      <sharedItems containsSemiMixedTypes="0" containsString="0" containsNumber="1" containsInteger="1" minValue="1499" maxValue="2495"/>
    </cacheField>
    <cacheField name="Rent Psf" numFmtId="44">
      <sharedItems containsSemiMixedTypes="0" containsString="0" containsNumber="1" minValue="1.3987240829346093" maxValue="2.401347449470645"/>
    </cacheField>
    <cacheField name="Utility Charge" numFmtId="16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Inglewood Townhomes"/>
    <s v="Stacked"/>
    <n v="2025"/>
    <s v="13206 - 112 Avenue NW"/>
    <x v="0"/>
    <n v="1127"/>
    <n v="1895"/>
    <n v="1.681455190771961"/>
    <n v="-157.91666666666666"/>
    <n v="1737.0833333333333"/>
    <n v="1.5413339248742974"/>
    <s v="$295_x000a_Additional $100/occupant_x000a_Does not include power"/>
    <s v="Single Car Garage - $100/month_x000a_Pet - $50/month"/>
    <s v="1 Month Free Rent (amortized over 13-month lease)"/>
  </r>
  <r>
    <s v="Woodcroft Townhomes"/>
    <s v="Stacked"/>
    <n v="2025"/>
    <s v="13516 - 115 Avenue NW"/>
    <x v="1"/>
    <n v="1050"/>
    <n v="1850"/>
    <n v="1.7619047619047619"/>
    <n v="-100"/>
    <n v="1750"/>
    <n v="1.6666666666666667"/>
    <s v="$300                                           Includes all utilities "/>
    <s v="Single Car Garage - $200/month_x000a_Pet - $50/month"/>
    <s v="Rent $1,750 for the first 6 months(incentive), then $1,850 for the remainder of the lease term. Sign an 18 month lease and receive a 65'' TV"/>
  </r>
  <r>
    <s v="North Glenora Townhomes"/>
    <s v="Stacked"/>
    <n v="2023"/>
    <s v="10904 - 139 Street NW"/>
    <x v="2"/>
    <n v="850"/>
    <n v="1575"/>
    <n v="1.8529411764705883"/>
    <n v="0"/>
    <n v="1575"/>
    <n v="1.8529411764705883"/>
    <s v="Tenant responsible for servicing their unit"/>
    <s v="Surface Parking - $60/month_x000a_Pet - $500 nonrefundable deposit"/>
    <m/>
  </r>
  <r>
    <s v="15210 109 Avenue NW"/>
    <s v="Stacked"/>
    <n v="2023"/>
    <s v="15210 - 109 Avenue NW"/>
    <x v="0"/>
    <n v="1200"/>
    <n v="1975"/>
    <n v="1.6458333333333333"/>
    <n v="-41.666666666666664"/>
    <n v="1933.3333333333333"/>
    <n v="1.6111111111111109"/>
    <s v="$300                                           Includes all utilities "/>
    <s v="Pet - $50/month"/>
    <s v="Incentive of $500 giftcard"/>
  </r>
  <r>
    <s v="Sherwood Townhomes"/>
    <s v="Stacked"/>
    <n v="2024"/>
    <s v="15010 - 94 Avenue NW"/>
    <x v="3"/>
    <n v="1200"/>
    <n v="2050"/>
    <n v="1.7083333333333333"/>
    <n v="0"/>
    <n v="2050"/>
    <n v="1.7083333333333333"/>
    <s v="$275                                                    includes all utilities"/>
    <s v="Single Car Garage - $125/month_x000a_Pet - $50/month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Hooke County"/>
    <s v="Non-stacked"/>
    <n v="1986"/>
    <s v="1-33 Hooke Road NW"/>
    <x v="0"/>
    <n v="886"/>
    <n v="1603"/>
    <n v="1.8092550790067721"/>
    <s v="Not included"/>
  </r>
  <r>
    <m/>
    <m/>
    <m/>
    <m/>
    <x v="1"/>
    <n v="1039"/>
    <n v="1655"/>
    <n v="1.5928777670837344"/>
    <s v="Not included"/>
  </r>
  <r>
    <m/>
    <m/>
    <m/>
    <m/>
    <x v="2"/>
    <n v="1039"/>
    <n v="2495"/>
    <n v="2.401347449470645"/>
    <s v="Not included"/>
  </r>
  <r>
    <s v="Cavell Ridge Townhomes"/>
    <s v="Non-stacked"/>
    <n v="1984"/>
    <s v="1-15 Hyndman Cres NW"/>
    <x v="3"/>
    <n v="900"/>
    <n v="1725"/>
    <n v="1.9166666666666667"/>
    <s v="Not included"/>
  </r>
  <r>
    <m/>
    <m/>
    <m/>
    <m/>
    <x v="1"/>
    <n v="1100"/>
    <n v="1825"/>
    <n v="1.6590909090909092"/>
    <s v="Not included"/>
  </r>
  <r>
    <s v="Greenwood Vilage - Sherwood Park"/>
    <s v="Non-stacked"/>
    <n v="1970"/>
    <s v="163 Greenwood Village"/>
    <x v="0"/>
    <n v="1040"/>
    <n v="1899"/>
    <n v="1.8259615384615384"/>
    <s v="Not included"/>
  </r>
  <r>
    <m/>
    <m/>
    <m/>
    <m/>
    <x v="0"/>
    <n v="1040"/>
    <n v="1699"/>
    <n v="1.6336538461538461"/>
    <s v="Not included"/>
  </r>
  <r>
    <m/>
    <m/>
    <m/>
    <m/>
    <x v="1"/>
    <n v="1200"/>
    <n v="1799"/>
    <n v="1.4991666666666668"/>
    <s v="Not included"/>
  </r>
  <r>
    <s v="Southwoods Village "/>
    <s v="Non-stacked"/>
    <n v="1960"/>
    <s v="6621 96 Street NW"/>
    <x v="3"/>
    <n v="864"/>
    <n v="1662"/>
    <n v="1.9236111111111112"/>
    <s v="Not included"/>
  </r>
  <r>
    <m/>
    <m/>
    <m/>
    <m/>
    <x v="4"/>
    <n v="1056"/>
    <n v="1837"/>
    <n v="1.7395833333333333"/>
    <s v="Not included"/>
  </r>
  <r>
    <s v="Garden Court"/>
    <s v="Non-stacked"/>
    <n v="1964"/>
    <s v="10211 Princess Elizabeth Avenue"/>
    <x v="4"/>
    <n v="980"/>
    <n v="1499"/>
    <n v="1.5295918367346939"/>
    <s v="Not included"/>
  </r>
  <r>
    <s v="River Valley Townhomes"/>
    <s v="Non-stacked"/>
    <s v="1964/1967"/>
    <s v="4519 101A Avenue NW"/>
    <x v="0"/>
    <n v="932"/>
    <n v="1550"/>
    <n v="1.6630901287553648"/>
    <m/>
  </r>
  <r>
    <m/>
    <m/>
    <m/>
    <m/>
    <x v="1"/>
    <n v="1068"/>
    <n v="1676"/>
    <n v="1.5692883895131087"/>
    <m/>
  </r>
  <r>
    <m/>
    <m/>
    <m/>
    <m/>
    <x v="2"/>
    <n v="1254"/>
    <n v="1754"/>
    <n v="1.398724082934609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98B67-B623-483B-A888-6D83E5E1BFE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2:E28" firstHeaderRow="0" firstDataRow="1" firstDataCol="1"/>
  <pivotFields count="9">
    <pivotField showAll="0"/>
    <pivotField showAll="0"/>
    <pivotField showAll="0"/>
    <pivotField showAll="0"/>
    <pivotField axis="axisRow" showAll="0">
      <items count="11">
        <item m="1" x="7"/>
        <item m="1" x="6"/>
        <item x="0"/>
        <item m="1" x="5"/>
        <item m="1" x="8"/>
        <item x="4"/>
        <item x="1"/>
        <item m="1" x="9"/>
        <item x="2"/>
        <item x="3"/>
        <item t="default"/>
      </items>
    </pivotField>
    <pivotField dataField="1" showAll="0"/>
    <pivotField dataField="1" numFmtId="164" showAll="0"/>
    <pivotField dataField="1" numFmtId="44" showAll="0"/>
    <pivotField showAll="0"/>
  </pivotFields>
  <rowFields count="1">
    <field x="4"/>
  </rowFields>
  <rowItems count="6">
    <i>
      <x v="2"/>
    </i>
    <i>
      <x v="5"/>
    </i>
    <i>
      <x v="6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Unit SF" fld="5" subtotal="average" baseField="4" baseItem="2" numFmtId="1"/>
    <dataField name="Average of Rental Rate" fld="6" subtotal="average" baseField="4" baseItem="2" numFmtId="164"/>
    <dataField name="Average of Rent Psf" fld="7" subtotal="average" baseField="4" baseItem="2" numFmtId="44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69DB6-ADCB-4916-8346-719EE76959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F57" firstHeaderRow="0" firstDataRow="1" firstDataCol="1"/>
  <pivotFields count="14"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dataField="1" numFmtId="164" showAll="0"/>
    <pivotField dataField="1" numFmtId="44" showAll="0"/>
    <pivotField numFmtId="164" showAll="0"/>
    <pivotField dataField="1" numFmtId="164" showAll="0"/>
    <pivotField dataField="1" numFmtId="44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Unit SF" fld="5" subtotal="average" baseField="4" baseItem="0"/>
    <dataField name="Average of Gross Rental Rate" fld="6" subtotal="average" baseField="4" baseItem="0" numFmtId="164"/>
    <dataField name="Average of Gross Rent PSF" fld="7" subtotal="average" baseField="4" baseItem="0" numFmtId="44"/>
    <dataField name="Average of Net Rental Rate" fld="9" subtotal="average" baseField="4" baseItem="0" numFmtId="164"/>
    <dataField name="Average of Net Rent PSF" fld="10" subtotal="average" baseField="4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ntfaster.ca/properties/1-33-hooke-rd-nw-edmonton-455314" TargetMode="Externa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rentfaster.ca/properties/1-33-hooke-rd-nw-edmonton-455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CD59-C740-418A-8A67-F4CA06B63D1E}">
  <sheetPr>
    <pageSetUpPr fitToPage="1"/>
  </sheetPr>
  <dimension ref="A1:O57"/>
  <sheetViews>
    <sheetView tabSelected="1" topLeftCell="A7" zoomScale="85" zoomScaleNormal="85" workbookViewId="0">
      <selection activeCell="E17" sqref="E17"/>
    </sheetView>
  </sheetViews>
  <sheetFormatPr defaultRowHeight="15" x14ac:dyDescent="0.25"/>
  <cols>
    <col min="1" max="1" width="20.28515625" bestFit="1" customWidth="1"/>
    <col min="2" max="2" width="14.42578125" bestFit="1" customWidth="1"/>
    <col min="3" max="3" width="17.5703125" bestFit="1" customWidth="1"/>
    <col min="4" max="4" width="21.5703125" style="1" bestFit="1" customWidth="1"/>
    <col min="5" max="5" width="18.5703125" style="1" bestFit="1" customWidth="1"/>
    <col min="6" max="6" width="30.28515625" style="1" bestFit="1" customWidth="1"/>
    <col min="7" max="7" width="24.28515625" style="2" bestFit="1" customWidth="1"/>
    <col min="8" max="8" width="19.7109375" style="2" bestFit="1" customWidth="1"/>
    <col min="9" max="9" width="25.85546875" style="2" bestFit="1" customWidth="1"/>
    <col min="10" max="10" width="42.85546875" style="2" customWidth="1"/>
    <col min="11" max="11" width="58.7109375" style="2" customWidth="1"/>
    <col min="12" max="12" width="28.28515625" customWidth="1"/>
    <col min="13" max="13" width="19.28515625" customWidth="1"/>
    <col min="14" max="14" width="19.85546875" customWidth="1"/>
    <col min="15" max="15" width="21" customWidth="1"/>
    <col min="16" max="16" width="22.28515625" customWidth="1"/>
    <col min="17" max="17" width="12.85546875" customWidth="1"/>
    <col min="18" max="18" width="11.7109375" customWidth="1"/>
    <col min="19" max="19" width="11.85546875" customWidth="1"/>
  </cols>
  <sheetData>
    <row r="1" spans="1:15" ht="87.75" customHeight="1" thickBot="1" x14ac:dyDescent="0.3">
      <c r="A1" s="47" t="s">
        <v>6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5" ht="36" customHeight="1" x14ac:dyDescent="0.25">
      <c r="A2" s="26" t="s">
        <v>1</v>
      </c>
      <c r="B2" s="27" t="s">
        <v>8</v>
      </c>
      <c r="C2" s="27" t="s">
        <v>3</v>
      </c>
      <c r="D2" s="27" t="s">
        <v>0</v>
      </c>
      <c r="E2" s="27" t="s">
        <v>2</v>
      </c>
      <c r="F2" s="27" t="s">
        <v>11</v>
      </c>
      <c r="G2" s="28" t="s">
        <v>61</v>
      </c>
      <c r="H2" s="27" t="s">
        <v>62</v>
      </c>
      <c r="I2" s="28" t="s">
        <v>10</v>
      </c>
      <c r="J2" s="28" t="s">
        <v>18</v>
      </c>
      <c r="K2" s="29" t="s">
        <v>13</v>
      </c>
      <c r="L2" s="7" t="s">
        <v>40</v>
      </c>
      <c r="M2" s="7" t="s">
        <v>16</v>
      </c>
      <c r="N2" s="7" t="s">
        <v>14</v>
      </c>
      <c r="O2" s="7" t="s">
        <v>15</v>
      </c>
    </row>
    <row r="3" spans="1:15" ht="61.5" customHeight="1" x14ac:dyDescent="0.25">
      <c r="A3" s="57" t="s">
        <v>29</v>
      </c>
      <c r="B3" s="44" t="s">
        <v>9</v>
      </c>
      <c r="C3" s="44">
        <v>1986</v>
      </c>
      <c r="D3" s="44" t="s">
        <v>30</v>
      </c>
      <c r="E3" s="11" t="s">
        <v>46</v>
      </c>
      <c r="F3" s="12">
        <v>886</v>
      </c>
      <c r="G3" s="3">
        <v>1603</v>
      </c>
      <c r="H3" s="8">
        <f t="shared" ref="H3:H14" si="0">G3/F3</f>
        <v>1.8092550790067721</v>
      </c>
      <c r="I3" s="18" t="s">
        <v>31</v>
      </c>
      <c r="J3" s="18"/>
      <c r="K3" s="30" t="s">
        <v>32</v>
      </c>
      <c r="L3" s="21" t="s">
        <v>41</v>
      </c>
      <c r="N3" s="22" t="s">
        <v>33</v>
      </c>
      <c r="O3" s="22"/>
    </row>
    <row r="4" spans="1:15" ht="61.5" customHeight="1" x14ac:dyDescent="0.25">
      <c r="A4" s="57"/>
      <c r="B4" s="44"/>
      <c r="C4" s="44"/>
      <c r="D4" s="44"/>
      <c r="E4" s="11" t="s">
        <v>34</v>
      </c>
      <c r="F4" s="12">
        <v>1039</v>
      </c>
      <c r="G4" s="3">
        <v>1655</v>
      </c>
      <c r="H4" s="8">
        <f>G4/F4</f>
        <v>1.5928777670837344</v>
      </c>
      <c r="I4" s="18" t="s">
        <v>31</v>
      </c>
      <c r="J4" s="18"/>
      <c r="K4" s="30"/>
      <c r="L4" s="21"/>
      <c r="N4" s="22" t="s">
        <v>33</v>
      </c>
      <c r="O4" s="22"/>
    </row>
    <row r="5" spans="1:15" ht="61.5" customHeight="1" x14ac:dyDescent="0.25">
      <c r="A5" s="57"/>
      <c r="B5" s="44"/>
      <c r="C5" s="44"/>
      <c r="D5" s="44"/>
      <c r="E5" s="11" t="s">
        <v>35</v>
      </c>
      <c r="F5" s="12">
        <v>1039</v>
      </c>
      <c r="G5" s="23">
        <v>2495</v>
      </c>
      <c r="H5" s="8">
        <f t="shared" si="0"/>
        <v>2.401347449470645</v>
      </c>
      <c r="I5" s="18" t="s">
        <v>31</v>
      </c>
      <c r="J5" s="18"/>
      <c r="K5" s="30" t="s">
        <v>36</v>
      </c>
      <c r="N5" s="22"/>
    </row>
    <row r="6" spans="1:15" ht="61.5" customHeight="1" x14ac:dyDescent="0.25">
      <c r="A6" s="45" t="s">
        <v>37</v>
      </c>
      <c r="B6" s="46" t="s">
        <v>9</v>
      </c>
      <c r="C6" s="46">
        <v>1984</v>
      </c>
      <c r="D6" s="46" t="s">
        <v>38</v>
      </c>
      <c r="E6" s="38" t="s">
        <v>63</v>
      </c>
      <c r="F6" s="39">
        <v>900</v>
      </c>
      <c r="G6" s="40">
        <v>1725</v>
      </c>
      <c r="H6" s="41">
        <f t="shared" si="0"/>
        <v>1.9166666666666667</v>
      </c>
      <c r="I6" s="42" t="s">
        <v>31</v>
      </c>
      <c r="J6" s="18"/>
      <c r="K6" s="30"/>
      <c r="L6" t="s">
        <v>42</v>
      </c>
      <c r="N6" s="22" t="s">
        <v>43</v>
      </c>
    </row>
    <row r="7" spans="1:15" ht="61.5" customHeight="1" x14ac:dyDescent="0.25">
      <c r="A7" s="45"/>
      <c r="B7" s="46"/>
      <c r="C7" s="46"/>
      <c r="D7" s="46"/>
      <c r="E7" s="37" t="s">
        <v>34</v>
      </c>
      <c r="F7" s="37">
        <v>1100</v>
      </c>
      <c r="G7" s="40">
        <v>1825</v>
      </c>
      <c r="H7" s="41">
        <f t="shared" si="0"/>
        <v>1.6590909090909092</v>
      </c>
      <c r="I7" s="42" t="s">
        <v>31</v>
      </c>
      <c r="J7" s="10"/>
      <c r="K7" s="31"/>
      <c r="N7" s="22"/>
    </row>
    <row r="8" spans="1:15" ht="61.5" customHeight="1" x14ac:dyDescent="0.25">
      <c r="A8" s="57" t="s">
        <v>45</v>
      </c>
      <c r="B8" s="44" t="s">
        <v>9</v>
      </c>
      <c r="C8" s="44">
        <v>1970</v>
      </c>
      <c r="D8" s="44" t="s">
        <v>44</v>
      </c>
      <c r="E8" s="10" t="s">
        <v>46</v>
      </c>
      <c r="F8" s="10">
        <v>1040</v>
      </c>
      <c r="G8" s="3">
        <v>1899</v>
      </c>
      <c r="H8" s="8">
        <f t="shared" si="0"/>
        <v>1.8259615384615384</v>
      </c>
      <c r="I8" s="18" t="s">
        <v>31</v>
      </c>
      <c r="J8" s="10"/>
      <c r="K8" s="43" t="s">
        <v>32</v>
      </c>
      <c r="L8" t="s">
        <v>47</v>
      </c>
      <c r="N8" s="22"/>
    </row>
    <row r="9" spans="1:15" ht="61.5" customHeight="1" x14ac:dyDescent="0.25">
      <c r="A9" s="57"/>
      <c r="B9" s="44"/>
      <c r="C9" s="44"/>
      <c r="D9" s="44"/>
      <c r="E9" s="10" t="s">
        <v>46</v>
      </c>
      <c r="F9" s="10">
        <v>1040</v>
      </c>
      <c r="G9" s="3">
        <v>1699</v>
      </c>
      <c r="H9" s="8">
        <f t="shared" si="0"/>
        <v>1.6336538461538461</v>
      </c>
      <c r="I9" s="18" t="s">
        <v>31</v>
      </c>
      <c r="J9" s="10"/>
      <c r="K9" s="43"/>
      <c r="L9" t="s">
        <v>49</v>
      </c>
      <c r="N9" s="22" t="s">
        <v>48</v>
      </c>
    </row>
    <row r="10" spans="1:15" ht="61.5" customHeight="1" x14ac:dyDescent="0.25">
      <c r="A10" s="57"/>
      <c r="B10" s="44"/>
      <c r="C10" s="44"/>
      <c r="D10" s="44"/>
      <c r="E10" s="10" t="s">
        <v>34</v>
      </c>
      <c r="F10" s="10">
        <v>1200</v>
      </c>
      <c r="G10" s="3">
        <v>1799</v>
      </c>
      <c r="H10" s="8">
        <f t="shared" si="0"/>
        <v>1.4991666666666668</v>
      </c>
      <c r="I10" s="18" t="s">
        <v>31</v>
      </c>
      <c r="J10" s="10"/>
      <c r="K10" s="43"/>
      <c r="N10" s="22"/>
    </row>
    <row r="11" spans="1:15" ht="61.5" customHeight="1" x14ac:dyDescent="0.25">
      <c r="A11" s="45" t="s">
        <v>50</v>
      </c>
      <c r="B11" s="46" t="s">
        <v>9</v>
      </c>
      <c r="C11" s="46">
        <v>1960</v>
      </c>
      <c r="D11" s="46" t="s">
        <v>51</v>
      </c>
      <c r="E11" s="37" t="s">
        <v>63</v>
      </c>
      <c r="F11" s="37">
        <v>864</v>
      </c>
      <c r="G11" s="40">
        <v>1662</v>
      </c>
      <c r="H11" s="41">
        <f t="shared" si="0"/>
        <v>1.9236111111111112</v>
      </c>
      <c r="I11" s="42" t="s">
        <v>31</v>
      </c>
      <c r="J11" s="10"/>
      <c r="K11" s="31" t="s">
        <v>52</v>
      </c>
      <c r="L11" t="s">
        <v>54</v>
      </c>
      <c r="N11" s="22" t="s">
        <v>53</v>
      </c>
    </row>
    <row r="12" spans="1:15" ht="61.5" customHeight="1" x14ac:dyDescent="0.25">
      <c r="A12" s="45"/>
      <c r="B12" s="46"/>
      <c r="C12" s="46"/>
      <c r="D12" s="46"/>
      <c r="E12" s="37" t="s">
        <v>39</v>
      </c>
      <c r="F12" s="37">
        <v>1056</v>
      </c>
      <c r="G12" s="40">
        <v>1837</v>
      </c>
      <c r="H12" s="41">
        <f t="shared" si="0"/>
        <v>1.7395833333333333</v>
      </c>
      <c r="I12" s="42" t="s">
        <v>31</v>
      </c>
      <c r="J12" s="10"/>
      <c r="K12" s="31" t="s">
        <v>56</v>
      </c>
      <c r="L12" t="s">
        <v>55</v>
      </c>
      <c r="N12" s="22"/>
    </row>
    <row r="13" spans="1:15" ht="61.5" customHeight="1" x14ac:dyDescent="0.25">
      <c r="A13" s="6" t="s">
        <v>57</v>
      </c>
      <c r="B13" s="10" t="s">
        <v>9</v>
      </c>
      <c r="C13" s="10">
        <v>1964</v>
      </c>
      <c r="D13" s="10" t="s">
        <v>58</v>
      </c>
      <c r="E13" s="10" t="s">
        <v>39</v>
      </c>
      <c r="F13" s="10">
        <v>980</v>
      </c>
      <c r="G13" s="3">
        <v>1499</v>
      </c>
      <c r="H13" s="8">
        <f t="shared" si="0"/>
        <v>1.5295918367346939</v>
      </c>
      <c r="I13" s="18" t="s">
        <v>31</v>
      </c>
      <c r="J13" s="10" t="s">
        <v>59</v>
      </c>
      <c r="K13" s="31"/>
      <c r="N13" s="22" t="s">
        <v>60</v>
      </c>
    </row>
    <row r="14" spans="1:15" ht="49.5" customHeight="1" x14ac:dyDescent="0.25">
      <c r="A14" s="49" t="s">
        <v>26</v>
      </c>
      <c r="B14" s="51" t="s">
        <v>9</v>
      </c>
      <c r="C14" s="53" t="s">
        <v>28</v>
      </c>
      <c r="D14" s="51" t="s">
        <v>27</v>
      </c>
      <c r="E14" s="13" t="s">
        <v>46</v>
      </c>
      <c r="F14" s="4">
        <v>932</v>
      </c>
      <c r="G14" s="5">
        <v>1550</v>
      </c>
      <c r="H14" s="9">
        <f t="shared" si="0"/>
        <v>1.6630901287553648</v>
      </c>
      <c r="I14" s="19"/>
      <c r="J14" s="19"/>
      <c r="K14" s="55" t="s">
        <v>12</v>
      </c>
    </row>
    <row r="15" spans="1:15" ht="49.5" customHeight="1" thickBot="1" x14ac:dyDescent="0.3">
      <c r="A15" s="49"/>
      <c r="B15" s="51"/>
      <c r="C15" s="53"/>
      <c r="D15" s="51"/>
      <c r="E15" s="14" t="s">
        <v>34</v>
      </c>
      <c r="F15" s="15">
        <v>1068</v>
      </c>
      <c r="G15" s="16">
        <v>1676</v>
      </c>
      <c r="H15" s="17">
        <f>G15/F15</f>
        <v>1.5692883895131087</v>
      </c>
      <c r="I15" s="19"/>
      <c r="J15" s="19"/>
      <c r="K15" s="55"/>
    </row>
    <row r="16" spans="1:15" ht="49.5" customHeight="1" thickBot="1" x14ac:dyDescent="0.3">
      <c r="A16" s="50"/>
      <c r="B16" s="52"/>
      <c r="C16" s="54"/>
      <c r="D16" s="52"/>
      <c r="E16" s="14" t="s">
        <v>35</v>
      </c>
      <c r="F16" s="15">
        <v>1254</v>
      </c>
      <c r="G16" s="16">
        <v>1754</v>
      </c>
      <c r="H16" s="17">
        <f>G16/F16</f>
        <v>1.3987240829346093</v>
      </c>
      <c r="I16" s="20"/>
      <c r="J16" s="20"/>
      <c r="K16" s="56"/>
    </row>
    <row r="17" spans="1:11" ht="20.100000000000001" customHeight="1" x14ac:dyDescent="0.25">
      <c r="D17"/>
      <c r="E17"/>
      <c r="F17"/>
      <c r="G17"/>
      <c r="H17"/>
      <c r="I17"/>
      <c r="J17"/>
      <c r="K17"/>
    </row>
    <row r="18" spans="1:11" ht="20.100000000000001" customHeight="1" x14ac:dyDescent="0.25">
      <c r="D18"/>
      <c r="E18"/>
      <c r="F18"/>
      <c r="G18"/>
      <c r="H18"/>
      <c r="I18"/>
      <c r="J18"/>
      <c r="K18"/>
    </row>
    <row r="19" spans="1:11" ht="20.100000000000001" customHeight="1" x14ac:dyDescent="0.25">
      <c r="A19" s="24"/>
      <c r="D19"/>
      <c r="E19"/>
      <c r="F19"/>
      <c r="G19"/>
      <c r="H19"/>
      <c r="I19"/>
      <c r="J19"/>
      <c r="K19"/>
    </row>
    <row r="20" spans="1:11" ht="20.100000000000001" customHeight="1" x14ac:dyDescent="0.25">
      <c r="B20" s="25"/>
      <c r="C20" t="s">
        <v>66</v>
      </c>
      <c r="D20"/>
      <c r="E20"/>
      <c r="F20"/>
      <c r="G20"/>
      <c r="H20"/>
      <c r="I20"/>
      <c r="J20"/>
      <c r="K20"/>
    </row>
    <row r="21" spans="1:11" ht="20.100000000000001" customHeight="1" x14ac:dyDescent="0.25">
      <c r="D21"/>
      <c r="E21"/>
      <c r="F21"/>
      <c r="G21"/>
      <c r="H21"/>
      <c r="I21"/>
      <c r="J21"/>
      <c r="K21"/>
    </row>
    <row r="22" spans="1:11" ht="20.100000000000001" customHeight="1" x14ac:dyDescent="0.25">
      <c r="A22" s="58" t="s">
        <v>67</v>
      </c>
      <c r="B22" s="32" t="s">
        <v>19</v>
      </c>
      <c r="C22" t="s">
        <v>22</v>
      </c>
      <c r="D22" t="s">
        <v>64</v>
      </c>
      <c r="E22" t="s">
        <v>65</v>
      </c>
      <c r="F22"/>
      <c r="G22"/>
      <c r="H22"/>
      <c r="I22"/>
      <c r="J22"/>
      <c r="K22"/>
    </row>
    <row r="23" spans="1:11" ht="20.100000000000001" customHeight="1" x14ac:dyDescent="0.25">
      <c r="A23" s="58"/>
      <c r="B23" s="33" t="s">
        <v>46</v>
      </c>
      <c r="C23" s="36">
        <v>974.5</v>
      </c>
      <c r="D23" s="34">
        <v>1687.75</v>
      </c>
      <c r="E23" s="35">
        <v>1.7329901480943803</v>
      </c>
      <c r="F23"/>
      <c r="G23"/>
      <c r="H23"/>
      <c r="I23"/>
      <c r="J23"/>
      <c r="K23"/>
    </row>
    <row r="24" spans="1:11" ht="20.100000000000001" customHeight="1" x14ac:dyDescent="0.25">
      <c r="A24" s="58"/>
      <c r="B24" s="33" t="s">
        <v>39</v>
      </c>
      <c r="C24" s="36">
        <v>1018</v>
      </c>
      <c r="D24" s="34">
        <v>1668</v>
      </c>
      <c r="E24" s="35">
        <v>1.6345875850340135</v>
      </c>
      <c r="F24"/>
      <c r="G24"/>
      <c r="H24"/>
      <c r="I24"/>
      <c r="J24"/>
      <c r="K24"/>
    </row>
    <row r="25" spans="1:11" ht="20.100000000000001" customHeight="1" x14ac:dyDescent="0.25">
      <c r="A25" s="58"/>
      <c r="B25" s="33" t="s">
        <v>34</v>
      </c>
      <c r="C25" s="36">
        <v>1101.75</v>
      </c>
      <c r="D25" s="34">
        <v>1738.75</v>
      </c>
      <c r="E25" s="35">
        <v>1.5801059330886047</v>
      </c>
      <c r="F25"/>
      <c r="G25"/>
      <c r="H25"/>
      <c r="I25"/>
      <c r="J25"/>
      <c r="K25"/>
    </row>
    <row r="26" spans="1:11" ht="20.100000000000001" customHeight="1" x14ac:dyDescent="0.25">
      <c r="A26" s="58"/>
      <c r="B26" s="33" t="s">
        <v>35</v>
      </c>
      <c r="C26" s="36">
        <v>1146.5</v>
      </c>
      <c r="D26" s="34">
        <v>2124.5</v>
      </c>
      <c r="E26" s="35">
        <v>1.900035766202627</v>
      </c>
      <c r="F26"/>
      <c r="G26"/>
      <c r="H26"/>
      <c r="I26"/>
      <c r="J26"/>
      <c r="K26"/>
    </row>
    <row r="27" spans="1:11" ht="20.100000000000001" customHeight="1" x14ac:dyDescent="0.25">
      <c r="A27" s="58"/>
      <c r="B27" s="33" t="s">
        <v>63</v>
      </c>
      <c r="C27" s="36">
        <v>882</v>
      </c>
      <c r="D27" s="34">
        <v>1693.5</v>
      </c>
      <c r="E27" s="35">
        <v>1.9201388888888888</v>
      </c>
      <c r="F27"/>
      <c r="G27"/>
      <c r="H27"/>
      <c r="I27"/>
      <c r="J27"/>
      <c r="K27"/>
    </row>
    <row r="28" spans="1:11" ht="20.100000000000001" customHeight="1" x14ac:dyDescent="0.25">
      <c r="A28" s="58"/>
      <c r="B28" s="33" t="s">
        <v>20</v>
      </c>
      <c r="C28" s="36">
        <v>1028.4285714285713</v>
      </c>
      <c r="D28" s="34">
        <v>1762.7142857142858</v>
      </c>
      <c r="E28" s="35">
        <v>1.7258506289273574</v>
      </c>
      <c r="F28"/>
      <c r="G28"/>
      <c r="H28"/>
      <c r="I28"/>
      <c r="J28"/>
      <c r="K28"/>
    </row>
    <row r="29" spans="1:11" ht="20.100000000000001" customHeight="1" x14ac:dyDescent="0.25">
      <c r="D29"/>
      <c r="E29"/>
      <c r="F29"/>
      <c r="G29"/>
      <c r="H29"/>
      <c r="I29"/>
      <c r="J29"/>
      <c r="K29"/>
    </row>
    <row r="30" spans="1:11" ht="20.100000000000001" customHeight="1" x14ac:dyDescent="0.25">
      <c r="D30"/>
      <c r="E30"/>
      <c r="F30"/>
      <c r="G30"/>
      <c r="H30"/>
      <c r="I30"/>
      <c r="J30"/>
      <c r="K30"/>
    </row>
    <row r="31" spans="1:11" ht="20.100000000000001" customHeight="1" x14ac:dyDescent="0.25">
      <c r="D31"/>
      <c r="E31"/>
      <c r="F31"/>
      <c r="G31"/>
      <c r="H31"/>
      <c r="I31"/>
      <c r="J31"/>
      <c r="K31"/>
    </row>
    <row r="32" spans="1:11" x14ac:dyDescent="0.25">
      <c r="D32"/>
      <c r="E32"/>
      <c r="F32"/>
    </row>
    <row r="33" spans="4:6" x14ac:dyDescent="0.25">
      <c r="D33"/>
      <c r="E33"/>
      <c r="F33"/>
    </row>
    <row r="34" spans="4:6" x14ac:dyDescent="0.25">
      <c r="D34"/>
    </row>
    <row r="35" spans="4:6" x14ac:dyDescent="0.25">
      <c r="D35"/>
    </row>
    <row r="36" spans="4:6" x14ac:dyDescent="0.25">
      <c r="D36"/>
    </row>
    <row r="37" spans="4:6" x14ac:dyDescent="0.25">
      <c r="D37"/>
    </row>
    <row r="38" spans="4:6" x14ac:dyDescent="0.25">
      <c r="D38"/>
    </row>
    <row r="39" spans="4:6" x14ac:dyDescent="0.25">
      <c r="D39"/>
    </row>
    <row r="52" spans="1:6" x14ac:dyDescent="0.25">
      <c r="A52" s="32" t="s">
        <v>19</v>
      </c>
      <c r="B52" t="s">
        <v>22</v>
      </c>
      <c r="C52" t="s">
        <v>21</v>
      </c>
      <c r="D52" t="s">
        <v>23</v>
      </c>
      <c r="E52" t="s">
        <v>24</v>
      </c>
      <c r="F52" t="s">
        <v>25</v>
      </c>
    </row>
    <row r="53" spans="1:6" x14ac:dyDescent="0.25">
      <c r="A53" s="33" t="s">
        <v>7</v>
      </c>
      <c r="B53">
        <v>850</v>
      </c>
      <c r="C53" s="34">
        <v>1575</v>
      </c>
      <c r="D53" s="35">
        <v>1.8529411764705883</v>
      </c>
      <c r="E53" s="34">
        <v>1575</v>
      </c>
      <c r="F53" s="35">
        <v>1.8529411764705883</v>
      </c>
    </row>
    <row r="54" spans="1:6" x14ac:dyDescent="0.25">
      <c r="A54" s="33" t="s">
        <v>5</v>
      </c>
      <c r="B54">
        <v>1050</v>
      </c>
      <c r="C54" s="34">
        <v>1850</v>
      </c>
      <c r="D54" s="35">
        <v>1.7619047619047619</v>
      </c>
      <c r="E54" s="34">
        <v>1750</v>
      </c>
      <c r="F54" s="35">
        <v>1.6666666666666667</v>
      </c>
    </row>
    <row r="55" spans="1:6" x14ac:dyDescent="0.25">
      <c r="A55" s="33" t="s">
        <v>17</v>
      </c>
      <c r="B55">
        <v>1200</v>
      </c>
      <c r="C55" s="34">
        <v>2050</v>
      </c>
      <c r="D55" s="35">
        <v>1.7083333333333333</v>
      </c>
      <c r="E55" s="34">
        <v>2050</v>
      </c>
      <c r="F55" s="35">
        <v>1.7083333333333333</v>
      </c>
    </row>
    <row r="56" spans="1:6" x14ac:dyDescent="0.25">
      <c r="A56" s="33" t="s">
        <v>4</v>
      </c>
      <c r="B56">
        <v>1163.5</v>
      </c>
      <c r="C56" s="34">
        <v>1935</v>
      </c>
      <c r="D56" s="35">
        <v>1.6636442620526473</v>
      </c>
      <c r="E56" s="34">
        <v>1835.2083333333333</v>
      </c>
      <c r="F56" s="35">
        <v>1.5762225179927043</v>
      </c>
    </row>
    <row r="57" spans="1:6" x14ac:dyDescent="0.25">
      <c r="A57" s="33" t="s">
        <v>20</v>
      </c>
      <c r="B57">
        <v>1085.4000000000001</v>
      </c>
      <c r="C57" s="34">
        <v>1869</v>
      </c>
      <c r="D57" s="35">
        <v>1.7300935591627957</v>
      </c>
      <c r="E57" s="34">
        <v>1809.0833333333333</v>
      </c>
      <c r="F57" s="35">
        <v>1.6760772424911992</v>
      </c>
    </row>
  </sheetData>
  <mergeCells count="24">
    <mergeCell ref="A22:A28"/>
    <mergeCell ref="A1:K1"/>
    <mergeCell ref="A14:A16"/>
    <mergeCell ref="B14:B16"/>
    <mergeCell ref="C14:C16"/>
    <mergeCell ref="D14:D16"/>
    <mergeCell ref="K14:K16"/>
    <mergeCell ref="A3:A5"/>
    <mergeCell ref="B3:B5"/>
    <mergeCell ref="C3:C5"/>
    <mergeCell ref="D3:D5"/>
    <mergeCell ref="A6:A7"/>
    <mergeCell ref="B6:B7"/>
    <mergeCell ref="C6:C7"/>
    <mergeCell ref="D6:D7"/>
    <mergeCell ref="A8:A10"/>
    <mergeCell ref="K8:K10"/>
    <mergeCell ref="B8:B10"/>
    <mergeCell ref="C8:C10"/>
    <mergeCell ref="D8:D10"/>
    <mergeCell ref="A11:A12"/>
    <mergeCell ref="B11:B12"/>
    <mergeCell ref="C11:C12"/>
    <mergeCell ref="D11:D12"/>
  </mergeCells>
  <conditionalFormatting sqref="A70:A1048576 A21:A22 B20 A19 A1:A3 A6 A8 A11 A13:A17 A29:A52">
    <cfRule type="duplicateValues" dxfId="1" priority="1"/>
  </conditionalFormatting>
  <hyperlinks>
    <hyperlink ref="N4" r:id="rId3" xr:uid="{33D42570-B427-49A1-B86D-7D269F3336BC}"/>
    <hyperlink ref="N3" r:id="rId4" xr:uid="{BBE27F6B-530B-4E82-8D2E-7347BAC0FC3C}"/>
  </hyperlinks>
  <pageMargins left="0.7" right="0.7" top="0.75" bottom="0.75" header="0.3" footer="0.3"/>
  <pageSetup scale="61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 Valley Townhomes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 Lee</dc:creator>
  <cp:lastModifiedBy>Brannon Guenette</cp:lastModifiedBy>
  <cp:lastPrinted>2024-02-28T22:29:00Z</cp:lastPrinted>
  <dcterms:created xsi:type="dcterms:W3CDTF">2020-02-17T16:29:06Z</dcterms:created>
  <dcterms:modified xsi:type="dcterms:W3CDTF">2026-09-16T17:54:33Z</dcterms:modified>
</cp:coreProperties>
</file>