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Box\Multi-Family\Offers\LISTINGS\Northridge Estates (180 units) Riverview Plaza (252 units) Parkview Estates (104 units)\Rental Survey\"/>
    </mc:Choice>
  </mc:AlternateContent>
  <xr:revisionPtr revIDLastSave="0" documentId="13_ncr:1_{D2395A38-FAD7-4D42-820B-1A1BDAFBF9C5}" xr6:coauthVersionLast="47" xr6:coauthVersionMax="47" xr10:uidLastSave="{00000000-0000-0000-0000-000000000000}"/>
  <bookViews>
    <workbookView xWindow="-120" yWindow="-120" windowWidth="38640" windowHeight="21120" xr2:uid="{B7C7C999-F651-44C5-B872-474C89041370}"/>
  </bookViews>
  <sheets>
    <sheet name="Riverview Plaza" sheetId="9" r:id="rId1"/>
  </sheets>
  <calcPr calcId="191029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7" i="9" l="1"/>
  <c r="F63" i="9"/>
  <c r="F41" i="9"/>
  <c r="F33" i="9"/>
  <c r="F34" i="9"/>
  <c r="F35" i="9"/>
  <c r="F36" i="9"/>
  <c r="F37" i="9"/>
  <c r="F38" i="9"/>
  <c r="F39" i="9"/>
  <c r="F40" i="9"/>
  <c r="F70" i="9"/>
  <c r="F69" i="9"/>
  <c r="F68" i="9"/>
  <c r="F66" i="9"/>
  <c r="F65" i="9"/>
  <c r="F64" i="9"/>
  <c r="F20" i="9" l="1"/>
  <c r="F19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60" i="9"/>
  <c r="F61" i="9"/>
  <c r="F62" i="9"/>
  <c r="F43" i="9"/>
  <c r="F17" i="9"/>
  <c r="F18" i="9"/>
  <c r="F32" i="9"/>
  <c r="F31" i="9"/>
  <c r="F30" i="9"/>
  <c r="F16" i="9"/>
  <c r="F15" i="9"/>
  <c r="F14" i="9"/>
  <c r="F13" i="9"/>
  <c r="F12" i="9"/>
  <c r="F11" i="9"/>
  <c r="F10" i="9"/>
  <c r="F9" i="9"/>
  <c r="F26" i="9"/>
  <c r="F21" i="9"/>
  <c r="F22" i="9"/>
  <c r="F23" i="9"/>
  <c r="F24" i="9"/>
  <c r="F25" i="9"/>
  <c r="F27" i="9"/>
  <c r="F28" i="9"/>
  <c r="F29" i="9"/>
  <c r="F6" i="9" l="1"/>
  <c r="F5" i="9"/>
  <c r="F7" i="9"/>
  <c r="F8" i="9"/>
  <c r="F4" i="9"/>
  <c r="F3" i="9"/>
</calcChain>
</file>

<file path=xl/sharedStrings.xml><?xml version="1.0" encoding="utf-8"?>
<sst xmlns="http://schemas.openxmlformats.org/spreadsheetml/2006/main" count="156" uniqueCount="78">
  <si>
    <t>Address</t>
  </si>
  <si>
    <t>SF</t>
  </si>
  <si>
    <t>Rental Rate</t>
  </si>
  <si>
    <t>Rent PSF</t>
  </si>
  <si>
    <t>Building Name</t>
  </si>
  <si>
    <t>Unit Type</t>
  </si>
  <si>
    <t>2 Bedroom/1 Bath - Partial Reno</t>
  </si>
  <si>
    <t>1 Bedroom/1 Bath - Partial Reno</t>
  </si>
  <si>
    <t>3 Bedroom/1 Bath - Partial Reno</t>
  </si>
  <si>
    <t>Riverview Plaza</t>
  </si>
  <si>
    <t>Park Ridge Estates</t>
  </si>
  <si>
    <t>Meadowview Apartments</t>
  </si>
  <si>
    <t>Christopher County Apartments</t>
  </si>
  <si>
    <t>Hermitage Village Apartments</t>
  </si>
  <si>
    <t>Durham County Apartments</t>
  </si>
  <si>
    <t>Partial Reno</t>
  </si>
  <si>
    <t>Grand Total</t>
  </si>
  <si>
    <t>Renovation Level</t>
  </si>
  <si>
    <t>Market</t>
  </si>
  <si>
    <t>Comparison</t>
  </si>
  <si>
    <t>Northridge Estates</t>
  </si>
  <si>
    <t>2 Bedroom / 1 Bath</t>
  </si>
  <si>
    <t>1 Bedroom / 1 Bath</t>
  </si>
  <si>
    <t>Beacon Heights</t>
  </si>
  <si>
    <t>1 Bedroom/1 Bath - Basic</t>
  </si>
  <si>
    <t>2 Bedroom/1 Bath - Basic</t>
  </si>
  <si>
    <t>11832 - 45 Street NW</t>
  </si>
  <si>
    <t>Bev Manor</t>
  </si>
  <si>
    <t>Lou Apartments</t>
  </si>
  <si>
    <t>Bachelor - Basic</t>
  </si>
  <si>
    <t>Beacon Arms</t>
  </si>
  <si>
    <t>11804 - 49 Street NW</t>
  </si>
  <si>
    <t>4608 - 118 Avenue NW</t>
  </si>
  <si>
    <t>11420 - 34 Street NW</t>
  </si>
  <si>
    <t>2908 - 116a Avenue NW</t>
  </si>
  <si>
    <t>1174 Hooke Road NW</t>
  </si>
  <si>
    <t>350 Hooper Crescent NW</t>
  </si>
  <si>
    <t>11805 - 47 Street NW</t>
  </si>
  <si>
    <t>Beacon Apartments</t>
  </si>
  <si>
    <t>11821 - 39 Street NW</t>
  </si>
  <si>
    <t>Cameron County Apartments</t>
  </si>
  <si>
    <t>Victoria County Apartments</t>
  </si>
  <si>
    <t>North Haven Estates</t>
  </si>
  <si>
    <t>Riviera Gardens</t>
  </si>
  <si>
    <t>13660 - 38 Street NW</t>
  </si>
  <si>
    <t>13704 - 24 Street NW</t>
  </si>
  <si>
    <t>35 Homestead Crescent</t>
  </si>
  <si>
    <t>1112 Hermitage Road NW</t>
  </si>
  <si>
    <t>8 Hooper Crescent NW</t>
  </si>
  <si>
    <t>Row Labels</t>
  </si>
  <si>
    <t>Average of SF</t>
  </si>
  <si>
    <t>Average of Rental Rate</t>
  </si>
  <si>
    <t>Average of Rent PSF</t>
  </si>
  <si>
    <t xml:space="preserve"> -</t>
  </si>
  <si>
    <t>3 Bedroom / 1.5 Bath</t>
  </si>
  <si>
    <t>Original</t>
  </si>
  <si>
    <t>Bachelor/Studio</t>
  </si>
  <si>
    <t>Townhome
2 Bedroom / 1 Bath</t>
  </si>
  <si>
    <t>Parkview Estates</t>
  </si>
  <si>
    <t>Townhome
3 Bedroom / 1 Bath</t>
  </si>
  <si>
    <t>Cavell Ridge Townhomes</t>
  </si>
  <si>
    <t>15 Hyndman Crescent NW</t>
  </si>
  <si>
    <t>TH 2 Bedroom/1 Bath - Partial Reno</t>
  </si>
  <si>
    <t>TH 3 Bedroom/1 Bath - Partial Reno</t>
  </si>
  <si>
    <t>Hooke County Townhomes</t>
  </si>
  <si>
    <t>33 Hooke Road NW</t>
  </si>
  <si>
    <t>TH 2 Bedroom/1 Bath - Basic</t>
  </si>
  <si>
    <t>TH 3 Bedroom/1 Bath - Basic</t>
  </si>
  <si>
    <t>Hartford County Townhomes</t>
  </si>
  <si>
    <t>14 Horner Road NW</t>
  </si>
  <si>
    <t>Hermitage Park Townhomes</t>
  </si>
  <si>
    <t>4504 - 127 Avenue NW</t>
  </si>
  <si>
    <t>Habitat Village Townhomes</t>
  </si>
  <si>
    <t>441 Habitat Crescent NW</t>
  </si>
  <si>
    <t>The Maples Townhomes</t>
  </si>
  <si>
    <t>1919 - 147 Avenue NW</t>
  </si>
  <si>
    <r>
      <rPr>
        <b/>
        <sz val="16"/>
        <color theme="1"/>
        <rFont val="Calibri"/>
        <family val="2"/>
        <scheme val="minor"/>
      </rPr>
      <t>Rental Market Survey</t>
    </r>
    <r>
      <rPr>
        <sz val="16"/>
        <color theme="1"/>
        <rFont val="Calibri"/>
        <family val="2"/>
        <scheme val="minor"/>
      </rPr>
      <t xml:space="preserve">
Boardwalk Portfolio 2026
Edmonton, AB</t>
    </r>
  </si>
  <si>
    <t>Basic 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</si>
</sst>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164" fontId="0" fillId="3" borderId="0" xfId="1" applyNumberFormat="1" applyFont="1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44" fontId="0" fillId="3" borderId="5" xfId="1" applyFont="1" applyFill="1" applyBorder="1" applyAlignment="1">
      <alignment horizontal="center" vertical="center"/>
    </xf>
    <xf numFmtId="44" fontId="1" fillId="4" borderId="0" xfId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3" borderId="0" xfId="2" applyNumberFormat="1" applyFont="1" applyFill="1" applyBorder="1" applyAlignment="1">
      <alignment horizontal="center" vertical="center"/>
    </xf>
    <xf numFmtId="164" fontId="6" fillId="3" borderId="0" xfId="1" applyNumberFormat="1" applyFont="1" applyFill="1" applyBorder="1" applyAlignment="1">
      <alignment horizontal="center" vertical="center"/>
    </xf>
    <xf numFmtId="0" fontId="6" fillId="2" borderId="0" xfId="2" applyNumberFormat="1" applyFont="1" applyFill="1" applyBorder="1" applyAlignment="1">
      <alignment horizontal="center" vertical="center"/>
    </xf>
    <xf numFmtId="164" fontId="6" fillId="2" borderId="0" xfId="1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7" xfId="2" applyNumberFormat="1" applyFont="1" applyFill="1" applyBorder="1" applyAlignment="1">
      <alignment horizontal="center" vertical="center"/>
    </xf>
    <xf numFmtId="164" fontId="6" fillId="3" borderId="7" xfId="1" applyNumberFormat="1" applyFont="1" applyFill="1" applyBorder="1" applyAlignment="1">
      <alignment horizontal="center" vertical="center"/>
    </xf>
    <xf numFmtId="0" fontId="6" fillId="3" borderId="0" xfId="2" quotePrefix="1" applyNumberFormat="1" applyFont="1" applyFill="1" applyBorder="1" applyAlignment="1">
      <alignment horizontal="center" vertical="center"/>
    </xf>
    <xf numFmtId="0" fontId="6" fillId="2" borderId="0" xfId="2" quotePrefix="1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0" xfId="2" applyNumberFormat="1" applyFont="1" applyFill="1" applyBorder="1" applyAlignment="1">
      <alignment horizontal="center" vertical="center"/>
    </xf>
    <xf numFmtId="164" fontId="6" fillId="3" borderId="10" xfId="1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0" xfId="2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0" xfId="0" pivotButton="1"/>
    <xf numFmtId="1" fontId="0" fillId="0" borderId="0" xfId="0" applyNumberFormat="1"/>
    <xf numFmtId="164" fontId="0" fillId="0" borderId="0" xfId="0" applyNumberFormat="1"/>
    <xf numFmtId="44" fontId="0" fillId="0" borderId="0" xfId="0" applyNumberFormat="1"/>
    <xf numFmtId="164" fontId="6" fillId="3" borderId="0" xfId="1" quotePrefix="1" applyNumberFormat="1" applyFont="1" applyFill="1" applyBorder="1" applyAlignment="1">
      <alignment horizontal="center" vertical="center"/>
    </xf>
    <xf numFmtId="164" fontId="6" fillId="2" borderId="0" xfId="1" quotePrefix="1" applyNumberFormat="1" applyFont="1" applyFill="1" applyBorder="1" applyAlignment="1">
      <alignment horizontal="center" vertical="center"/>
    </xf>
    <xf numFmtId="44" fontId="6" fillId="2" borderId="5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44" fontId="6" fillId="3" borderId="8" xfId="1" applyFont="1" applyFill="1" applyBorder="1" applyAlignment="1">
      <alignment horizontal="center" vertical="center"/>
    </xf>
    <xf numFmtId="44" fontId="6" fillId="2" borderId="9" xfId="1" applyFont="1" applyFill="1" applyBorder="1" applyAlignment="1">
      <alignment horizontal="center" vertical="center"/>
    </xf>
    <xf numFmtId="44" fontId="6" fillId="3" borderId="9" xfId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1" fontId="0" fillId="2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1" fontId="0" fillId="3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Normal 2" xfId="3" xr:uid="{CA4BACFC-7AA7-4957-AF97-CE8AAAC80B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544154</xdr:colOff>
      <xdr:row>0</xdr:row>
      <xdr:rowOff>107951</xdr:rowOff>
    </xdr:from>
    <xdr:to>
      <xdr:col>1</xdr:col>
      <xdr:colOff>560474</xdr:colOff>
      <xdr:row>0</xdr:row>
      <xdr:rowOff>1009651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84067-D3A3-49DC-A6E7-65305BCC7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54" y="107951"/>
          <a:ext cx="1408702" cy="9017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enette, Brannon (Avison Young - CA)" refreshedDate="46107.521879050924" createdVersion="8" refreshedVersion="8" minRefreshableVersion="3" recordCount="39" xr:uid="{DB644F83-664D-4267-BC8A-1209A5CF8180}">
  <cacheSource type="worksheet">
    <worksheetSource ref="A2:F41" sheet="Riverview Plaza"/>
  </cacheSource>
  <cacheFields count="6">
    <cacheField name="Building Name" numFmtId="0">
      <sharedItems containsBlank="1"/>
    </cacheField>
    <cacheField name="Address" numFmtId="0">
      <sharedItems containsBlank="1"/>
    </cacheField>
    <cacheField name="Unit Type" numFmtId="0">
      <sharedItems count="11">
        <s v="1 Bedroom/1 Bath - Basic"/>
        <s v="2 Bedroom/1 Bath - Partial Reno"/>
        <s v="1 Bedroom/1 Bath - Partial Reno"/>
        <s v="2 Bedroom/1 Bath - Basic"/>
        <s v="3 Bedroom/1 Bath - Partial Reno"/>
        <s v="Bachelor - Basic"/>
        <s v="TH 2 Bedroom/1 Bath - Partial Reno"/>
        <s v="TH 3 Bedroom/1 Bath - Partial Reno"/>
        <s v="TH 2 Bedroom/1 Bath - Basic"/>
        <s v="TH 3 Bedroom/1 Bath - Basic"/>
        <s v="3 Bedroom/1.5 Bath - Partial Reno" u="1"/>
      </sharedItems>
    </cacheField>
    <cacheField name="SF" numFmtId="1">
      <sharedItems containsSemiMixedTypes="0" containsString="0" containsNumber="1" containsInteger="1" minValue="410" maxValue="1100"/>
    </cacheField>
    <cacheField name="Rental Rate" numFmtId="164">
      <sharedItems containsSemiMixedTypes="0" containsString="0" containsNumber="1" containsInteger="1" minValue="895" maxValue="1780"/>
    </cacheField>
    <cacheField name="Rent PSF" numFmtId="44">
      <sharedItems containsSemiMixedTypes="0" containsString="0" containsNumber="1" minValue="1.3698630136986301" maxValue="2.18292682926829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North Haven Estates"/>
    <s v="13660 - 38 Street NW"/>
    <x v="0"/>
    <n v="700"/>
    <n v="1170"/>
    <n v="1.6714285714285715"/>
  </r>
  <r>
    <m/>
    <m/>
    <x v="1"/>
    <n v="880"/>
    <n v="1299"/>
    <n v="1.4761363636363636"/>
  </r>
  <r>
    <s v="Riviera Gardens"/>
    <s v="13704 - 24 Street NW"/>
    <x v="2"/>
    <n v="650"/>
    <n v="1250"/>
    <n v="1.9230769230769231"/>
  </r>
  <r>
    <m/>
    <m/>
    <x v="1"/>
    <n v="900"/>
    <n v="1345"/>
    <n v="1.4944444444444445"/>
  </r>
  <r>
    <s v="Cameron County Apartments"/>
    <s v="35 Homestead Crescent"/>
    <x v="0"/>
    <n v="744"/>
    <n v="1255"/>
    <n v="1.6868279569892473"/>
  </r>
  <r>
    <m/>
    <m/>
    <x v="3"/>
    <n v="1023"/>
    <n v="1470"/>
    <n v="1.436950146627566"/>
  </r>
  <r>
    <s v="Durham County Apartments"/>
    <s v="350 Hooper Crescent NW"/>
    <x v="0"/>
    <n v="744"/>
    <n v="1239"/>
    <n v="1.6653225806451613"/>
  </r>
  <r>
    <m/>
    <m/>
    <x v="3"/>
    <n v="1023"/>
    <n v="1515"/>
    <n v="1.4809384164222874"/>
  </r>
  <r>
    <s v="Hermitage Village Apartments"/>
    <s v="1174 Hooke Road NW"/>
    <x v="2"/>
    <n v="695"/>
    <n v="1149"/>
    <n v="1.6532374100719425"/>
  </r>
  <r>
    <m/>
    <m/>
    <x v="1"/>
    <n v="890"/>
    <n v="1299"/>
    <n v="1.4595505617977529"/>
  </r>
  <r>
    <m/>
    <m/>
    <x v="4"/>
    <n v="1065"/>
    <n v="1499"/>
    <n v="1.4075117370892019"/>
  </r>
  <r>
    <s v="Christopher County Apartments"/>
    <s v="1112 Hermitage Road NW"/>
    <x v="2"/>
    <n v="645"/>
    <n v="1169"/>
    <n v="1.8124031007751937"/>
  </r>
  <r>
    <m/>
    <m/>
    <x v="1"/>
    <n v="780"/>
    <n v="1283"/>
    <n v="1.6448717948717948"/>
  </r>
  <r>
    <m/>
    <m/>
    <x v="4"/>
    <n v="1003"/>
    <n v="1714"/>
    <n v="1.7088733798604188"/>
  </r>
  <r>
    <s v="Victoria County Apartments"/>
    <s v="8 Hooper Crescent NW"/>
    <x v="2"/>
    <n v="785"/>
    <n v="1235"/>
    <n v="1.5732484076433122"/>
  </r>
  <r>
    <m/>
    <m/>
    <x v="1"/>
    <n v="940"/>
    <n v="1465"/>
    <n v="1.5585106382978724"/>
  </r>
  <r>
    <s v="Park Ridge Estates"/>
    <s v="2908 - 116a Avenue NW"/>
    <x v="1"/>
    <n v="855"/>
    <n v="1250"/>
    <n v="1.4619883040935673"/>
  </r>
  <r>
    <m/>
    <m/>
    <x v="4"/>
    <n v="1095"/>
    <n v="1500"/>
    <n v="1.3698630136986301"/>
  </r>
  <r>
    <s v="Beacon Heights"/>
    <s v="11821 - 39 Street NW"/>
    <x v="4"/>
    <n v="900"/>
    <n v="1449"/>
    <n v="1.61"/>
  </r>
  <r>
    <s v="Beacon Apartments"/>
    <s v="11832 - 45 Street NW"/>
    <x v="3"/>
    <n v="600"/>
    <n v="1300"/>
    <n v="2.1666666666666665"/>
  </r>
  <r>
    <s v="Bev Manor"/>
    <s v="11805 - 47 Street NW"/>
    <x v="0"/>
    <n v="725"/>
    <n v="1100"/>
    <n v="1.5172413793103448"/>
  </r>
  <r>
    <m/>
    <m/>
    <x v="3"/>
    <n v="850"/>
    <n v="1225"/>
    <n v="1.4411764705882353"/>
  </r>
  <r>
    <s v="Lou Apartments"/>
    <s v="4608 - 118 Avenue NW"/>
    <x v="5"/>
    <n v="410"/>
    <n v="895"/>
    <n v="2.1829268292682928"/>
  </r>
  <r>
    <m/>
    <m/>
    <x v="0"/>
    <n v="586"/>
    <n v="995"/>
    <n v="1.6979522184300342"/>
  </r>
  <r>
    <m/>
    <m/>
    <x v="3"/>
    <n v="672"/>
    <n v="1195"/>
    <n v="1.7782738095238095"/>
  </r>
  <r>
    <s v="Beacon Arms"/>
    <s v="11804 - 49 Street NW"/>
    <x v="2"/>
    <n v="600"/>
    <n v="1088"/>
    <n v="1.8133333333333332"/>
  </r>
  <r>
    <m/>
    <m/>
    <x v="1"/>
    <n v="750"/>
    <n v="1350"/>
    <n v="1.8"/>
  </r>
  <r>
    <s v="Meadowview Apartments"/>
    <s v="11420 - 34 Street NW"/>
    <x v="2"/>
    <n v="650"/>
    <n v="1195"/>
    <n v="1.8384615384615384"/>
  </r>
  <r>
    <m/>
    <m/>
    <x v="1"/>
    <n v="800"/>
    <n v="1325"/>
    <n v="1.65625"/>
  </r>
  <r>
    <s v="Cavell Ridge Townhomes"/>
    <s v="15 Hyndman Crescent NW"/>
    <x v="6"/>
    <n v="900"/>
    <n v="1780"/>
    <n v="1.9777777777777779"/>
  </r>
  <r>
    <m/>
    <m/>
    <x v="7"/>
    <n v="1100"/>
    <n v="1725"/>
    <n v="1.5681818181818181"/>
  </r>
  <r>
    <s v="Hooke County Townhomes"/>
    <s v="33 Hooke Road NW"/>
    <x v="8"/>
    <n v="886"/>
    <n v="1515"/>
    <n v="1.7099322799097065"/>
  </r>
  <r>
    <m/>
    <m/>
    <x v="9"/>
    <n v="1039"/>
    <n v="1730"/>
    <n v="1.6650625601539941"/>
  </r>
  <r>
    <s v="Hartford County Townhomes"/>
    <s v="14 Horner Road NW"/>
    <x v="6"/>
    <n v="969"/>
    <n v="1620"/>
    <n v="1.6718266253869969"/>
  </r>
  <r>
    <m/>
    <m/>
    <x v="7"/>
    <n v="1047"/>
    <n v="1780"/>
    <n v="1.7000955109837632"/>
  </r>
  <r>
    <s v="Hermitage Park Townhomes"/>
    <s v="4504 - 127 Avenue NW"/>
    <x v="7"/>
    <n v="1100"/>
    <n v="1645"/>
    <n v="1.4954545454545454"/>
  </r>
  <r>
    <s v="Habitat Village Townhomes"/>
    <s v="441 Habitat Crescent NW"/>
    <x v="7"/>
    <n v="900"/>
    <n v="1689"/>
    <n v="1.8766666666666667"/>
  </r>
  <r>
    <s v="The Maples Townhomes"/>
    <s v="1919 - 147 Avenue NW"/>
    <x v="8"/>
    <n v="900"/>
    <n v="1295"/>
    <n v="1.4388888888888889"/>
  </r>
  <r>
    <m/>
    <m/>
    <x v="9"/>
    <n v="1050"/>
    <n v="1495"/>
    <n v="1.42380952380952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1C2EB-2AF9-4551-8216-C270269FBCE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3:K54" firstHeaderRow="0" firstDataRow="1" firstDataCol="1"/>
  <pivotFields count="6">
    <pivotField showAll="0"/>
    <pivotField showAll="0"/>
    <pivotField axis="axisRow" showAll="0">
      <items count="12">
        <item x="0"/>
        <item x="2"/>
        <item x="3"/>
        <item x="1"/>
        <item x="4"/>
        <item m="1" x="10"/>
        <item x="5"/>
        <item x="6"/>
        <item x="7"/>
        <item x="8"/>
        <item x="9"/>
        <item t="default"/>
      </items>
    </pivotField>
    <pivotField dataField="1" numFmtId="1" showAll="0"/>
    <pivotField dataField="1" numFmtId="164" showAll="0"/>
    <pivotField dataField="1" numFmtId="44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F" fld="3" subtotal="average" baseField="2" baseItem="0" numFmtId="1"/>
    <dataField name="Average of Rental Rate" fld="4" subtotal="average" baseField="2" baseItem="0" numFmtId="164"/>
    <dataField name="Average of Rent PSF" fld="5" subtotal="average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1CEC-DEC9-40C7-BA18-D50AD15190C0}">
  <sheetPr>
    <pageSetUpPr fitToPage="1"/>
  </sheetPr>
  <dimension ref="A1:K90"/>
  <sheetViews>
    <sheetView tabSelected="1" topLeftCell="A43" zoomScale="110" zoomScaleNormal="110" workbookViewId="0">
      <selection activeCell="I58" sqref="I58"/>
    </sheetView>
  </sheetViews>
  <sheetFormatPr defaultRowHeight="15" x14ac:dyDescent="0.25"/>
  <cols>
    <col min="1" max="1" width="20.85546875" customWidth="1"/>
    <col min="2" max="2" width="23.28515625" style="1" bestFit="1" customWidth="1"/>
    <col min="3" max="3" width="31.42578125" style="1" bestFit="1" customWidth="1"/>
    <col min="4" max="4" width="11.7109375" style="1" customWidth="1"/>
    <col min="5" max="5" width="15.5703125" style="2" customWidth="1"/>
    <col min="6" max="6" width="14.140625" style="1" customWidth="1"/>
    <col min="7" max="7" width="9.140625" customWidth="1"/>
    <col min="8" max="8" width="32.5703125" bestFit="1" customWidth="1"/>
    <col min="9" max="9" width="13.140625" bestFit="1" customWidth="1"/>
    <col min="10" max="10" width="21.5703125" bestFit="1" customWidth="1"/>
    <col min="11" max="11" width="19.140625" bestFit="1" customWidth="1"/>
    <col min="12" max="12" width="11.7109375" customWidth="1"/>
    <col min="13" max="13" width="11.85546875" customWidth="1"/>
  </cols>
  <sheetData>
    <row r="1" spans="1:6" ht="87.75" customHeight="1" x14ac:dyDescent="0.25">
      <c r="A1" s="42" t="s">
        <v>76</v>
      </c>
      <c r="B1" s="43"/>
      <c r="C1" s="43"/>
      <c r="D1" s="43"/>
      <c r="E1" s="43"/>
      <c r="F1" s="44"/>
    </row>
    <row r="2" spans="1:6" ht="36" customHeight="1" x14ac:dyDescent="0.25">
      <c r="A2" s="8" t="s">
        <v>4</v>
      </c>
      <c r="B2" s="57" t="s">
        <v>0</v>
      </c>
      <c r="C2" s="57" t="s">
        <v>5</v>
      </c>
      <c r="D2" s="57" t="s">
        <v>1</v>
      </c>
      <c r="E2" s="7" t="s">
        <v>2</v>
      </c>
      <c r="F2" s="9" t="s">
        <v>3</v>
      </c>
    </row>
    <row r="3" spans="1:6" ht="24.95" customHeight="1" x14ac:dyDescent="0.25">
      <c r="A3" s="41" t="s">
        <v>42</v>
      </c>
      <c r="B3" s="58" t="s">
        <v>44</v>
      </c>
      <c r="C3" s="59" t="s">
        <v>24</v>
      </c>
      <c r="D3" s="60">
        <v>700</v>
      </c>
      <c r="E3" s="3">
        <v>1170</v>
      </c>
      <c r="F3" s="5">
        <f>E3/D3</f>
        <v>1.6714285714285715</v>
      </c>
    </row>
    <row r="4" spans="1:6" ht="24.95" customHeight="1" x14ac:dyDescent="0.25">
      <c r="A4" s="41"/>
      <c r="B4" s="58"/>
      <c r="C4" s="59" t="s">
        <v>6</v>
      </c>
      <c r="D4" s="60">
        <v>880</v>
      </c>
      <c r="E4" s="3">
        <v>1299</v>
      </c>
      <c r="F4" s="5">
        <f t="shared" ref="F4:F6" si="0">E4/D4</f>
        <v>1.4761363636363636</v>
      </c>
    </row>
    <row r="5" spans="1:6" ht="24.95" customHeight="1" x14ac:dyDescent="0.25">
      <c r="A5" s="40" t="s">
        <v>43</v>
      </c>
      <c r="B5" s="61" t="s">
        <v>45</v>
      </c>
      <c r="C5" s="62" t="s">
        <v>7</v>
      </c>
      <c r="D5" s="63">
        <v>650</v>
      </c>
      <c r="E5" s="4">
        <v>1250</v>
      </c>
      <c r="F5" s="6">
        <f t="shared" si="0"/>
        <v>1.9230769230769231</v>
      </c>
    </row>
    <row r="6" spans="1:6" ht="24.95" customHeight="1" x14ac:dyDescent="0.25">
      <c r="A6" s="40"/>
      <c r="B6" s="61"/>
      <c r="C6" s="62" t="s">
        <v>6</v>
      </c>
      <c r="D6" s="63">
        <v>900</v>
      </c>
      <c r="E6" s="4">
        <v>1345</v>
      </c>
      <c r="F6" s="6">
        <f t="shared" si="0"/>
        <v>1.4944444444444445</v>
      </c>
    </row>
    <row r="7" spans="1:6" ht="29.25" customHeight="1" x14ac:dyDescent="0.25">
      <c r="A7" s="41" t="s">
        <v>40</v>
      </c>
      <c r="B7" s="58" t="s">
        <v>46</v>
      </c>
      <c r="C7" s="59" t="s">
        <v>24</v>
      </c>
      <c r="D7" s="60">
        <v>744</v>
      </c>
      <c r="E7" s="3">
        <v>1255</v>
      </c>
      <c r="F7" s="5">
        <f t="shared" ref="F7:F20" si="1">E7/D7</f>
        <v>1.6868279569892473</v>
      </c>
    </row>
    <row r="8" spans="1:6" ht="28.5" customHeight="1" x14ac:dyDescent="0.25">
      <c r="A8" s="41"/>
      <c r="B8" s="58"/>
      <c r="C8" s="59" t="s">
        <v>25</v>
      </c>
      <c r="D8" s="60">
        <v>1023</v>
      </c>
      <c r="E8" s="3">
        <v>1470</v>
      </c>
      <c r="F8" s="5">
        <f t="shared" si="1"/>
        <v>1.436950146627566</v>
      </c>
    </row>
    <row r="9" spans="1:6" ht="28.5" customHeight="1" x14ac:dyDescent="0.25">
      <c r="A9" s="40" t="s">
        <v>14</v>
      </c>
      <c r="B9" s="61" t="s">
        <v>36</v>
      </c>
      <c r="C9" s="62" t="s">
        <v>24</v>
      </c>
      <c r="D9" s="63">
        <v>744</v>
      </c>
      <c r="E9" s="4">
        <v>1239</v>
      </c>
      <c r="F9" s="6">
        <f t="shared" si="1"/>
        <v>1.6653225806451613</v>
      </c>
    </row>
    <row r="10" spans="1:6" ht="28.5" customHeight="1" x14ac:dyDescent="0.25">
      <c r="A10" s="40"/>
      <c r="B10" s="61"/>
      <c r="C10" s="62" t="s">
        <v>25</v>
      </c>
      <c r="D10" s="63">
        <v>1023</v>
      </c>
      <c r="E10" s="4">
        <v>1515</v>
      </c>
      <c r="F10" s="6">
        <f t="shared" si="1"/>
        <v>1.4809384164222874</v>
      </c>
    </row>
    <row r="11" spans="1:6" ht="28.5" customHeight="1" x14ac:dyDescent="0.25">
      <c r="A11" s="41" t="s">
        <v>13</v>
      </c>
      <c r="B11" s="58" t="s">
        <v>35</v>
      </c>
      <c r="C11" s="59" t="s">
        <v>7</v>
      </c>
      <c r="D11" s="60">
        <v>695</v>
      </c>
      <c r="E11" s="3">
        <v>1149</v>
      </c>
      <c r="F11" s="5">
        <f>E11/D11</f>
        <v>1.6532374100719425</v>
      </c>
    </row>
    <row r="12" spans="1:6" ht="28.5" customHeight="1" x14ac:dyDescent="0.25">
      <c r="A12" s="41"/>
      <c r="B12" s="58"/>
      <c r="C12" s="59" t="s">
        <v>6</v>
      </c>
      <c r="D12" s="60">
        <v>890</v>
      </c>
      <c r="E12" s="3">
        <v>1299</v>
      </c>
      <c r="F12" s="5">
        <f t="shared" ref="F12:F16" si="2">E12/D12</f>
        <v>1.4595505617977529</v>
      </c>
    </row>
    <row r="13" spans="1:6" ht="28.5" customHeight="1" x14ac:dyDescent="0.25">
      <c r="A13" s="41"/>
      <c r="B13" s="58"/>
      <c r="C13" s="59" t="s">
        <v>8</v>
      </c>
      <c r="D13" s="60">
        <v>1065</v>
      </c>
      <c r="E13" s="3">
        <v>1499</v>
      </c>
      <c r="F13" s="5">
        <f t="shared" si="2"/>
        <v>1.4075117370892019</v>
      </c>
    </row>
    <row r="14" spans="1:6" ht="28.5" customHeight="1" x14ac:dyDescent="0.25">
      <c r="A14" s="40" t="s">
        <v>12</v>
      </c>
      <c r="B14" s="61" t="s">
        <v>47</v>
      </c>
      <c r="C14" s="62" t="s">
        <v>7</v>
      </c>
      <c r="D14" s="63">
        <v>645</v>
      </c>
      <c r="E14" s="4">
        <v>1169</v>
      </c>
      <c r="F14" s="6">
        <f t="shared" si="2"/>
        <v>1.8124031007751937</v>
      </c>
    </row>
    <row r="15" spans="1:6" ht="28.5" customHeight="1" x14ac:dyDescent="0.25">
      <c r="A15" s="40"/>
      <c r="B15" s="61"/>
      <c r="C15" s="62" t="s">
        <v>6</v>
      </c>
      <c r="D15" s="63">
        <v>780</v>
      </c>
      <c r="E15" s="4">
        <v>1283</v>
      </c>
      <c r="F15" s="6">
        <f t="shared" si="2"/>
        <v>1.6448717948717948</v>
      </c>
    </row>
    <row r="16" spans="1:6" ht="28.5" customHeight="1" x14ac:dyDescent="0.25">
      <c r="A16" s="40"/>
      <c r="B16" s="61"/>
      <c r="C16" s="62" t="s">
        <v>8</v>
      </c>
      <c r="D16" s="63">
        <v>1003</v>
      </c>
      <c r="E16" s="4">
        <v>1714</v>
      </c>
      <c r="F16" s="6">
        <f t="shared" si="2"/>
        <v>1.7088733798604188</v>
      </c>
    </row>
    <row r="17" spans="1:6" ht="28.5" customHeight="1" x14ac:dyDescent="0.25">
      <c r="A17" s="41" t="s">
        <v>41</v>
      </c>
      <c r="B17" s="58" t="s">
        <v>48</v>
      </c>
      <c r="C17" s="59" t="s">
        <v>7</v>
      </c>
      <c r="D17" s="60">
        <v>785</v>
      </c>
      <c r="E17" s="3">
        <v>1235</v>
      </c>
      <c r="F17" s="5">
        <f t="shared" si="1"/>
        <v>1.5732484076433122</v>
      </c>
    </row>
    <row r="18" spans="1:6" ht="28.5" customHeight="1" x14ac:dyDescent="0.25">
      <c r="A18" s="41"/>
      <c r="B18" s="58"/>
      <c r="C18" s="59" t="s">
        <v>6</v>
      </c>
      <c r="D18" s="60">
        <v>940</v>
      </c>
      <c r="E18" s="3">
        <v>1465</v>
      </c>
      <c r="F18" s="5">
        <f t="shared" si="1"/>
        <v>1.5585106382978724</v>
      </c>
    </row>
    <row r="19" spans="1:6" ht="28.5" customHeight="1" x14ac:dyDescent="0.25">
      <c r="A19" s="40" t="s">
        <v>10</v>
      </c>
      <c r="B19" s="61" t="s">
        <v>34</v>
      </c>
      <c r="C19" s="62" t="s">
        <v>6</v>
      </c>
      <c r="D19" s="63">
        <v>855</v>
      </c>
      <c r="E19" s="4">
        <v>1250</v>
      </c>
      <c r="F19" s="6">
        <f t="shared" si="1"/>
        <v>1.4619883040935673</v>
      </c>
    </row>
    <row r="20" spans="1:6" ht="28.5" customHeight="1" x14ac:dyDescent="0.25">
      <c r="A20" s="40"/>
      <c r="B20" s="61"/>
      <c r="C20" s="62" t="s">
        <v>8</v>
      </c>
      <c r="D20" s="63">
        <v>1095</v>
      </c>
      <c r="E20" s="4">
        <v>1500</v>
      </c>
      <c r="F20" s="6">
        <f t="shared" si="1"/>
        <v>1.3698630136986301</v>
      </c>
    </row>
    <row r="21" spans="1:6" ht="43.5" customHeight="1" x14ac:dyDescent="0.25">
      <c r="A21" s="10" t="s">
        <v>23</v>
      </c>
      <c r="B21" s="64" t="s">
        <v>39</v>
      </c>
      <c r="C21" s="59" t="s">
        <v>8</v>
      </c>
      <c r="D21" s="60">
        <v>900</v>
      </c>
      <c r="E21" s="3">
        <v>1449</v>
      </c>
      <c r="F21" s="5">
        <f t="shared" ref="F21:F31" si="3">E21/D21</f>
        <v>1.61</v>
      </c>
    </row>
    <row r="22" spans="1:6" ht="40.5" customHeight="1" x14ac:dyDescent="0.25">
      <c r="A22" s="11" t="s">
        <v>38</v>
      </c>
      <c r="B22" s="65" t="s">
        <v>26</v>
      </c>
      <c r="C22" s="62" t="s">
        <v>25</v>
      </c>
      <c r="D22" s="63">
        <v>600</v>
      </c>
      <c r="E22" s="4">
        <v>1300</v>
      </c>
      <c r="F22" s="6">
        <f t="shared" si="3"/>
        <v>2.1666666666666665</v>
      </c>
    </row>
    <row r="23" spans="1:6" s="28" customFormat="1" ht="28.5" customHeight="1" x14ac:dyDescent="0.25">
      <c r="A23" s="41" t="s">
        <v>27</v>
      </c>
      <c r="B23" s="58" t="s">
        <v>37</v>
      </c>
      <c r="C23" s="59" t="s">
        <v>24</v>
      </c>
      <c r="D23" s="60">
        <v>725</v>
      </c>
      <c r="E23" s="3">
        <v>1100</v>
      </c>
      <c r="F23" s="5">
        <f t="shared" si="3"/>
        <v>1.5172413793103448</v>
      </c>
    </row>
    <row r="24" spans="1:6" s="28" customFormat="1" ht="28.5" customHeight="1" x14ac:dyDescent="0.25">
      <c r="A24" s="41"/>
      <c r="B24" s="58"/>
      <c r="C24" s="59" t="s">
        <v>25</v>
      </c>
      <c r="D24" s="60">
        <v>850</v>
      </c>
      <c r="E24" s="3">
        <v>1225</v>
      </c>
      <c r="F24" s="5">
        <f t="shared" si="3"/>
        <v>1.4411764705882353</v>
      </c>
    </row>
    <row r="25" spans="1:6" ht="28.5" customHeight="1" x14ac:dyDescent="0.25">
      <c r="A25" s="40" t="s">
        <v>28</v>
      </c>
      <c r="B25" s="61" t="s">
        <v>32</v>
      </c>
      <c r="C25" s="62" t="s">
        <v>29</v>
      </c>
      <c r="D25" s="63">
        <v>410</v>
      </c>
      <c r="E25" s="4">
        <v>895</v>
      </c>
      <c r="F25" s="6">
        <f t="shared" si="3"/>
        <v>2.1829268292682928</v>
      </c>
    </row>
    <row r="26" spans="1:6" ht="28.5" customHeight="1" x14ac:dyDescent="0.25">
      <c r="A26" s="40"/>
      <c r="B26" s="61"/>
      <c r="C26" s="62" t="s">
        <v>24</v>
      </c>
      <c r="D26" s="63">
        <v>586</v>
      </c>
      <c r="E26" s="4">
        <v>995</v>
      </c>
      <c r="F26" s="6">
        <f t="shared" si="3"/>
        <v>1.6979522184300342</v>
      </c>
    </row>
    <row r="27" spans="1:6" ht="28.5" customHeight="1" x14ac:dyDescent="0.25">
      <c r="A27" s="40"/>
      <c r="B27" s="61"/>
      <c r="C27" s="62" t="s">
        <v>25</v>
      </c>
      <c r="D27" s="63">
        <v>672</v>
      </c>
      <c r="E27" s="4">
        <v>1195</v>
      </c>
      <c r="F27" s="6">
        <f t="shared" si="3"/>
        <v>1.7782738095238095</v>
      </c>
    </row>
    <row r="28" spans="1:6" s="28" customFormat="1" ht="28.5" customHeight="1" x14ac:dyDescent="0.25">
      <c r="A28" s="41" t="s">
        <v>30</v>
      </c>
      <c r="B28" s="58" t="s">
        <v>31</v>
      </c>
      <c r="C28" s="59" t="s">
        <v>7</v>
      </c>
      <c r="D28" s="60">
        <v>600</v>
      </c>
      <c r="E28" s="3">
        <v>1088</v>
      </c>
      <c r="F28" s="5">
        <f t="shared" si="3"/>
        <v>1.8133333333333332</v>
      </c>
    </row>
    <row r="29" spans="1:6" s="28" customFormat="1" ht="28.5" customHeight="1" x14ac:dyDescent="0.25">
      <c r="A29" s="41"/>
      <c r="B29" s="58"/>
      <c r="C29" s="59" t="s">
        <v>6</v>
      </c>
      <c r="D29" s="60">
        <v>750</v>
      </c>
      <c r="E29" s="3">
        <v>1350</v>
      </c>
      <c r="F29" s="5">
        <f t="shared" si="3"/>
        <v>1.8</v>
      </c>
    </row>
    <row r="30" spans="1:6" ht="28.5" customHeight="1" x14ac:dyDescent="0.25">
      <c r="A30" s="40" t="s">
        <v>11</v>
      </c>
      <c r="B30" s="61" t="s">
        <v>33</v>
      </c>
      <c r="C30" s="62" t="s">
        <v>7</v>
      </c>
      <c r="D30" s="63">
        <v>650</v>
      </c>
      <c r="E30" s="4">
        <v>1195</v>
      </c>
      <c r="F30" s="6">
        <f t="shared" si="3"/>
        <v>1.8384615384615384</v>
      </c>
    </row>
    <row r="31" spans="1:6" ht="28.5" customHeight="1" x14ac:dyDescent="0.25">
      <c r="A31" s="40"/>
      <c r="B31" s="61"/>
      <c r="C31" s="62" t="s">
        <v>6</v>
      </c>
      <c r="D31" s="63">
        <v>800</v>
      </c>
      <c r="E31" s="4">
        <v>1325</v>
      </c>
      <c r="F31" s="6">
        <f t="shared" si="3"/>
        <v>1.65625</v>
      </c>
    </row>
    <row r="32" spans="1:6" ht="28.5" customHeight="1" x14ac:dyDescent="0.25">
      <c r="A32" s="41" t="s">
        <v>60</v>
      </c>
      <c r="B32" s="58" t="s">
        <v>61</v>
      </c>
      <c r="C32" s="59" t="s">
        <v>62</v>
      </c>
      <c r="D32" s="60">
        <v>900</v>
      </c>
      <c r="E32" s="3">
        <v>1780</v>
      </c>
      <c r="F32" s="5">
        <f t="shared" ref="F32:F41" si="4">E32/D32</f>
        <v>1.9777777777777779</v>
      </c>
    </row>
    <row r="33" spans="1:11" ht="28.5" customHeight="1" x14ac:dyDescent="0.25">
      <c r="A33" s="41"/>
      <c r="B33" s="58"/>
      <c r="C33" s="59" t="s">
        <v>63</v>
      </c>
      <c r="D33" s="60">
        <v>1100</v>
      </c>
      <c r="E33" s="3">
        <v>1725</v>
      </c>
      <c r="F33" s="5">
        <f t="shared" si="4"/>
        <v>1.5681818181818181</v>
      </c>
    </row>
    <row r="34" spans="1:11" ht="28.5" customHeight="1" x14ac:dyDescent="0.25">
      <c r="A34" s="40" t="s">
        <v>64</v>
      </c>
      <c r="B34" s="61" t="s">
        <v>65</v>
      </c>
      <c r="C34" s="62" t="s">
        <v>66</v>
      </c>
      <c r="D34" s="63">
        <v>886</v>
      </c>
      <c r="E34" s="4">
        <v>1515</v>
      </c>
      <c r="F34" s="6">
        <f>E34/D34</f>
        <v>1.7099322799097065</v>
      </c>
    </row>
    <row r="35" spans="1:11" ht="28.5" customHeight="1" x14ac:dyDescent="0.25">
      <c r="A35" s="40"/>
      <c r="B35" s="61"/>
      <c r="C35" s="62" t="s">
        <v>67</v>
      </c>
      <c r="D35" s="63">
        <v>1039</v>
      </c>
      <c r="E35" s="4">
        <v>1730</v>
      </c>
      <c r="F35" s="6">
        <f>E35/D35</f>
        <v>1.6650625601539941</v>
      </c>
    </row>
    <row r="36" spans="1:11" ht="28.5" customHeight="1" x14ac:dyDescent="0.25">
      <c r="A36" s="41" t="s">
        <v>68</v>
      </c>
      <c r="B36" s="58" t="s">
        <v>69</v>
      </c>
      <c r="C36" s="59" t="s">
        <v>62</v>
      </c>
      <c r="D36" s="60">
        <v>969</v>
      </c>
      <c r="E36" s="3">
        <v>1620</v>
      </c>
      <c r="F36" s="5">
        <f t="shared" si="4"/>
        <v>1.6718266253869969</v>
      </c>
    </row>
    <row r="37" spans="1:11" ht="28.5" customHeight="1" x14ac:dyDescent="0.25">
      <c r="A37" s="41"/>
      <c r="B37" s="58"/>
      <c r="C37" s="59" t="s">
        <v>63</v>
      </c>
      <c r="D37" s="60">
        <v>1047</v>
      </c>
      <c r="E37" s="3">
        <v>1780</v>
      </c>
      <c r="F37" s="5">
        <f t="shared" si="4"/>
        <v>1.7000955109837632</v>
      </c>
    </row>
    <row r="38" spans="1:11" ht="51.75" customHeight="1" x14ac:dyDescent="0.25">
      <c r="A38" s="11" t="s">
        <v>70</v>
      </c>
      <c r="B38" s="65" t="s">
        <v>71</v>
      </c>
      <c r="C38" s="62" t="s">
        <v>63</v>
      </c>
      <c r="D38" s="63">
        <v>1100</v>
      </c>
      <c r="E38" s="4">
        <v>1645</v>
      </c>
      <c r="F38" s="6">
        <f t="shared" si="4"/>
        <v>1.4954545454545454</v>
      </c>
    </row>
    <row r="39" spans="1:11" ht="51" customHeight="1" x14ac:dyDescent="0.25">
      <c r="A39" s="10" t="s">
        <v>72</v>
      </c>
      <c r="B39" s="64" t="s">
        <v>73</v>
      </c>
      <c r="C39" s="59" t="s">
        <v>63</v>
      </c>
      <c r="D39" s="60">
        <v>900</v>
      </c>
      <c r="E39" s="3">
        <v>1689</v>
      </c>
      <c r="F39" s="5">
        <f t="shared" si="4"/>
        <v>1.8766666666666667</v>
      </c>
    </row>
    <row r="40" spans="1:11" ht="28.5" customHeight="1" x14ac:dyDescent="0.25">
      <c r="A40" s="40" t="s">
        <v>74</v>
      </c>
      <c r="B40" s="61" t="s">
        <v>75</v>
      </c>
      <c r="C40" s="62" t="s">
        <v>66</v>
      </c>
      <c r="D40" s="63">
        <v>900</v>
      </c>
      <c r="E40" s="4">
        <v>1295</v>
      </c>
      <c r="F40" s="6">
        <f t="shared" si="4"/>
        <v>1.4388888888888889</v>
      </c>
    </row>
    <row r="41" spans="1:11" ht="29.25" customHeight="1" x14ac:dyDescent="0.25">
      <c r="A41" s="40"/>
      <c r="B41" s="61"/>
      <c r="C41" s="62" t="s">
        <v>67</v>
      </c>
      <c r="D41" s="63">
        <v>1050</v>
      </c>
      <c r="E41" s="4">
        <v>1495</v>
      </c>
      <c r="F41" s="6">
        <f t="shared" si="4"/>
        <v>1.4238095238095239</v>
      </c>
    </row>
    <row r="42" spans="1:11" ht="35.1" customHeight="1" x14ac:dyDescent="0.25">
      <c r="A42" s="8" t="s">
        <v>5</v>
      </c>
      <c r="B42" s="57" t="s">
        <v>17</v>
      </c>
      <c r="C42" s="57" t="s">
        <v>19</v>
      </c>
      <c r="D42" s="57" t="s">
        <v>1</v>
      </c>
      <c r="E42" s="7" t="s">
        <v>2</v>
      </c>
      <c r="F42" s="9" t="s">
        <v>3</v>
      </c>
    </row>
    <row r="43" spans="1:11" ht="24.95" customHeight="1" x14ac:dyDescent="0.25">
      <c r="A43" s="45" t="s">
        <v>56</v>
      </c>
      <c r="B43" s="66" t="s">
        <v>55</v>
      </c>
      <c r="C43" s="56" t="s">
        <v>18</v>
      </c>
      <c r="D43" s="56">
        <v>410</v>
      </c>
      <c r="E43" s="16">
        <v>895</v>
      </c>
      <c r="F43" s="35">
        <f>E43/D43</f>
        <v>2.1829268292682928</v>
      </c>
      <c r="H43" s="29" t="s">
        <v>49</v>
      </c>
      <c r="I43" t="s">
        <v>50</v>
      </c>
      <c r="J43" t="s">
        <v>51</v>
      </c>
      <c r="K43" t="s">
        <v>52</v>
      </c>
    </row>
    <row r="44" spans="1:11" ht="24.95" customHeight="1" x14ac:dyDescent="0.25">
      <c r="A44" s="45"/>
      <c r="B44" s="52"/>
      <c r="C44" s="25" t="s">
        <v>20</v>
      </c>
      <c r="D44" s="25">
        <v>398</v>
      </c>
      <c r="E44" s="27">
        <v>1048</v>
      </c>
      <c r="F44" s="38">
        <f t="shared" ref="F44:F62" si="5">E44/D44</f>
        <v>2.6331658291457285</v>
      </c>
      <c r="H44" s="12" t="s">
        <v>24</v>
      </c>
      <c r="I44" s="30">
        <v>699.8</v>
      </c>
      <c r="J44" s="31">
        <v>1151.8</v>
      </c>
      <c r="K44" s="32">
        <v>1.6477545413606716</v>
      </c>
    </row>
    <row r="45" spans="1:11" ht="24.95" customHeight="1" x14ac:dyDescent="0.25">
      <c r="A45" s="45"/>
      <c r="B45" s="66" t="s">
        <v>15</v>
      </c>
      <c r="C45" s="56" t="s">
        <v>18</v>
      </c>
      <c r="D45" s="56">
        <v>550</v>
      </c>
      <c r="E45" s="16">
        <v>1079</v>
      </c>
      <c r="F45" s="35">
        <f t="shared" si="5"/>
        <v>1.9618181818181819</v>
      </c>
      <c r="H45" s="12" t="s">
        <v>7</v>
      </c>
      <c r="I45" s="30">
        <v>670.83333333333337</v>
      </c>
      <c r="J45" s="31">
        <v>1181</v>
      </c>
      <c r="K45" s="32">
        <v>1.7689601188937072</v>
      </c>
    </row>
    <row r="46" spans="1:11" ht="24.95" customHeight="1" x14ac:dyDescent="0.25">
      <c r="A46" s="45"/>
      <c r="B46" s="66"/>
      <c r="C46" s="56" t="s">
        <v>20</v>
      </c>
      <c r="D46" s="56">
        <v>398</v>
      </c>
      <c r="E46" s="16">
        <v>1115</v>
      </c>
      <c r="F46" s="35">
        <f t="shared" si="5"/>
        <v>2.8015075376884422</v>
      </c>
      <c r="H46" s="12" t="s">
        <v>25</v>
      </c>
      <c r="I46" s="30">
        <v>833.6</v>
      </c>
      <c r="J46" s="31">
        <v>1341</v>
      </c>
      <c r="K46" s="32">
        <v>1.660801101965713</v>
      </c>
    </row>
    <row r="47" spans="1:11" ht="24.95" customHeight="1" x14ac:dyDescent="0.25">
      <c r="A47" s="51" t="s">
        <v>22</v>
      </c>
      <c r="B47" s="53" t="s">
        <v>55</v>
      </c>
      <c r="C47" s="54" t="s">
        <v>18</v>
      </c>
      <c r="D47" s="13">
        <v>700</v>
      </c>
      <c r="E47" s="14">
        <v>1152</v>
      </c>
      <c r="F47" s="36">
        <f t="shared" si="5"/>
        <v>1.6457142857142857</v>
      </c>
      <c r="H47" s="12" t="s">
        <v>6</v>
      </c>
      <c r="I47" s="30">
        <v>849.375</v>
      </c>
      <c r="J47" s="31">
        <v>1327</v>
      </c>
      <c r="K47" s="32">
        <v>1.5689690133927245</v>
      </c>
    </row>
    <row r="48" spans="1:11" ht="24.95" customHeight="1" x14ac:dyDescent="0.25">
      <c r="A48" s="51"/>
      <c r="B48" s="53"/>
      <c r="C48" s="54" t="s">
        <v>20</v>
      </c>
      <c r="D48" s="13">
        <v>564</v>
      </c>
      <c r="E48" s="14">
        <v>1151</v>
      </c>
      <c r="F48" s="36">
        <f t="shared" si="5"/>
        <v>2.0407801418439715</v>
      </c>
      <c r="H48" s="12" t="s">
        <v>8</v>
      </c>
      <c r="I48" s="30">
        <v>1015.75</v>
      </c>
      <c r="J48" s="31">
        <v>1540.5</v>
      </c>
      <c r="K48" s="32">
        <v>1.5240620326620629</v>
      </c>
    </row>
    <row r="49" spans="1:11" ht="24.95" customHeight="1" x14ac:dyDescent="0.25">
      <c r="A49" s="51"/>
      <c r="B49" s="48"/>
      <c r="C49" s="22" t="s">
        <v>9</v>
      </c>
      <c r="D49" s="23">
        <v>604</v>
      </c>
      <c r="E49" s="24">
        <v>1171</v>
      </c>
      <c r="F49" s="39">
        <f t="shared" si="5"/>
        <v>1.9387417218543046</v>
      </c>
      <c r="H49" s="12" t="s">
        <v>29</v>
      </c>
      <c r="I49" s="30">
        <v>410</v>
      </c>
      <c r="J49" s="31">
        <v>895</v>
      </c>
      <c r="K49" s="32">
        <v>2.1829268292682928</v>
      </c>
    </row>
    <row r="50" spans="1:11" ht="24.95" customHeight="1" x14ac:dyDescent="0.25">
      <c r="A50" s="51"/>
      <c r="B50" s="53" t="s">
        <v>15</v>
      </c>
      <c r="C50" s="54" t="s">
        <v>18</v>
      </c>
      <c r="D50" s="20">
        <v>671</v>
      </c>
      <c r="E50" s="33">
        <v>1181</v>
      </c>
      <c r="F50" s="36">
        <f t="shared" si="5"/>
        <v>1.760059612518629</v>
      </c>
      <c r="H50" s="12" t="s">
        <v>62</v>
      </c>
      <c r="I50" s="30">
        <v>934.5</v>
      </c>
      <c r="J50" s="31">
        <v>1700</v>
      </c>
      <c r="K50" s="32">
        <v>1.8248022015823873</v>
      </c>
    </row>
    <row r="51" spans="1:11" ht="24.95" customHeight="1" x14ac:dyDescent="0.25">
      <c r="A51" s="51"/>
      <c r="B51" s="53"/>
      <c r="C51" s="54" t="s">
        <v>20</v>
      </c>
      <c r="D51" s="20">
        <v>564</v>
      </c>
      <c r="E51" s="33">
        <v>1206</v>
      </c>
      <c r="F51" s="36">
        <f t="shared" si="5"/>
        <v>2.1382978723404253</v>
      </c>
      <c r="H51" s="12" t="s">
        <v>63</v>
      </c>
      <c r="I51" s="30">
        <v>1036.75</v>
      </c>
      <c r="J51" s="31">
        <v>1709.75</v>
      </c>
      <c r="K51" s="32">
        <v>1.6600996353216984</v>
      </c>
    </row>
    <row r="52" spans="1:11" ht="24.95" customHeight="1" x14ac:dyDescent="0.25">
      <c r="A52" s="51"/>
      <c r="B52" s="53"/>
      <c r="C52" s="54" t="s">
        <v>9</v>
      </c>
      <c r="D52" s="13">
        <v>604</v>
      </c>
      <c r="E52" s="14">
        <v>1245</v>
      </c>
      <c r="F52" s="36">
        <f t="shared" si="5"/>
        <v>2.0612582781456954</v>
      </c>
      <c r="H52" s="12" t="s">
        <v>66</v>
      </c>
      <c r="I52" s="30">
        <v>893</v>
      </c>
      <c r="J52" s="31">
        <v>1405</v>
      </c>
      <c r="K52" s="32">
        <v>1.5744105843992977</v>
      </c>
    </row>
    <row r="53" spans="1:11" ht="24.95" customHeight="1" x14ac:dyDescent="0.25">
      <c r="A53" s="45" t="s">
        <v>21</v>
      </c>
      <c r="B53" s="55" t="s">
        <v>55</v>
      </c>
      <c r="C53" s="56" t="s">
        <v>18</v>
      </c>
      <c r="D53" s="15">
        <v>834</v>
      </c>
      <c r="E53" s="16">
        <v>1312</v>
      </c>
      <c r="F53" s="35">
        <f t="shared" si="5"/>
        <v>1.5731414868105515</v>
      </c>
      <c r="H53" s="12" t="s">
        <v>67</v>
      </c>
      <c r="I53" s="30">
        <v>1044.5</v>
      </c>
      <c r="J53" s="31">
        <v>1612.5</v>
      </c>
      <c r="K53" s="32">
        <v>1.5444360419817591</v>
      </c>
    </row>
    <row r="54" spans="1:11" ht="24.95" customHeight="1" x14ac:dyDescent="0.25">
      <c r="A54" s="45"/>
      <c r="B54" s="55"/>
      <c r="C54" s="56" t="s">
        <v>20</v>
      </c>
      <c r="D54" s="15">
        <v>738</v>
      </c>
      <c r="E54" s="16">
        <v>1316</v>
      </c>
      <c r="F54" s="35">
        <f t="shared" si="5"/>
        <v>1.7831978319783197</v>
      </c>
      <c r="H54" s="12" t="s">
        <v>16</v>
      </c>
      <c r="I54" s="30">
        <v>842.33333333333337</v>
      </c>
      <c r="J54" s="31">
        <v>1371.7179487179487</v>
      </c>
      <c r="K54" s="32">
        <v>1.6542349280581072</v>
      </c>
    </row>
    <row r="55" spans="1:11" ht="24.95" customHeight="1" x14ac:dyDescent="0.25">
      <c r="A55" s="45"/>
      <c r="B55" s="49"/>
      <c r="C55" s="25" t="s">
        <v>9</v>
      </c>
      <c r="D55" s="26">
        <v>878</v>
      </c>
      <c r="E55" s="27">
        <v>1304</v>
      </c>
      <c r="F55" s="38">
        <f t="shared" si="5"/>
        <v>1.4851936218678816</v>
      </c>
    </row>
    <row r="56" spans="1:11" ht="24.95" customHeight="1" x14ac:dyDescent="0.25">
      <c r="A56" s="45"/>
      <c r="B56" s="55" t="s">
        <v>15</v>
      </c>
      <c r="C56" s="56" t="s">
        <v>18</v>
      </c>
      <c r="D56" s="21">
        <v>849</v>
      </c>
      <c r="E56" s="34">
        <v>1327</v>
      </c>
      <c r="F56" s="35">
        <f t="shared" si="5"/>
        <v>1.5630153121319199</v>
      </c>
    </row>
    <row r="57" spans="1:11" ht="24.95" customHeight="1" x14ac:dyDescent="0.25">
      <c r="A57" s="45"/>
      <c r="B57" s="55"/>
      <c r="C57" s="56" t="s">
        <v>20</v>
      </c>
      <c r="D57" s="21">
        <v>738</v>
      </c>
      <c r="E57" s="34">
        <v>1387</v>
      </c>
      <c r="F57" s="35">
        <f t="shared" si="5"/>
        <v>1.8794037940379404</v>
      </c>
    </row>
    <row r="58" spans="1:11" ht="24.95" customHeight="1" x14ac:dyDescent="0.25">
      <c r="A58" s="45"/>
      <c r="B58" s="55"/>
      <c r="C58" s="56" t="s">
        <v>9</v>
      </c>
      <c r="D58" s="15">
        <v>878</v>
      </c>
      <c r="E58" s="16">
        <v>1359</v>
      </c>
      <c r="F58" s="35">
        <f t="shared" si="5"/>
        <v>1.5478359908883828</v>
      </c>
    </row>
    <row r="59" spans="1:11" ht="24.95" customHeight="1" x14ac:dyDescent="0.25">
      <c r="A59" s="46" t="s">
        <v>54</v>
      </c>
      <c r="B59" s="53" t="s">
        <v>55</v>
      </c>
      <c r="C59" s="54" t="s">
        <v>18</v>
      </c>
      <c r="D59" s="13" t="s">
        <v>53</v>
      </c>
      <c r="E59" s="14" t="s">
        <v>53</v>
      </c>
      <c r="F59" s="36" t="s">
        <v>53</v>
      </c>
    </row>
    <row r="60" spans="1:11" ht="24.95" customHeight="1" x14ac:dyDescent="0.25">
      <c r="A60" s="46"/>
      <c r="B60" s="48"/>
      <c r="C60" s="22" t="s">
        <v>9</v>
      </c>
      <c r="D60" s="23">
        <v>1059</v>
      </c>
      <c r="E60" s="24">
        <v>1423</v>
      </c>
      <c r="F60" s="39">
        <f t="shared" si="5"/>
        <v>1.3437204910292728</v>
      </c>
    </row>
    <row r="61" spans="1:11" ht="24.95" customHeight="1" x14ac:dyDescent="0.25">
      <c r="A61" s="46"/>
      <c r="B61" s="53" t="s">
        <v>15</v>
      </c>
      <c r="C61" s="54" t="s">
        <v>18</v>
      </c>
      <c r="D61" s="13">
        <v>1016</v>
      </c>
      <c r="E61" s="14">
        <v>1541</v>
      </c>
      <c r="F61" s="36">
        <f t="shared" si="5"/>
        <v>1.5167322834645669</v>
      </c>
    </row>
    <row r="62" spans="1:11" ht="24.95" customHeight="1" x14ac:dyDescent="0.25">
      <c r="A62" s="46"/>
      <c r="B62" s="53"/>
      <c r="C62" s="54" t="s">
        <v>9</v>
      </c>
      <c r="D62" s="13">
        <v>1063</v>
      </c>
      <c r="E62" s="14">
        <v>1529</v>
      </c>
      <c r="F62" s="36">
        <f t="shared" si="5"/>
        <v>1.438381937911571</v>
      </c>
    </row>
    <row r="63" spans="1:11" ht="24.95" customHeight="1" x14ac:dyDescent="0.25">
      <c r="A63" s="67" t="s">
        <v>57</v>
      </c>
      <c r="B63" s="55" t="s">
        <v>77</v>
      </c>
      <c r="C63" s="56" t="s">
        <v>18</v>
      </c>
      <c r="D63" s="15">
        <v>893</v>
      </c>
      <c r="E63" s="16">
        <v>1405</v>
      </c>
      <c r="F63" s="35">
        <f t="shared" ref="F63:F66" si="6">E63/D63</f>
        <v>1.5733482642777155</v>
      </c>
    </row>
    <row r="64" spans="1:11" ht="24.95" customHeight="1" x14ac:dyDescent="0.25">
      <c r="A64" s="67"/>
      <c r="B64" s="49"/>
      <c r="C64" s="25" t="s">
        <v>58</v>
      </c>
      <c r="D64" s="26">
        <v>734</v>
      </c>
      <c r="E64" s="27">
        <v>1422</v>
      </c>
      <c r="F64" s="38">
        <f t="shared" si="6"/>
        <v>1.9373297002724796</v>
      </c>
    </row>
    <row r="65" spans="1:6" ht="24.95" customHeight="1" x14ac:dyDescent="0.25">
      <c r="A65" s="67"/>
      <c r="B65" s="55" t="s">
        <v>15</v>
      </c>
      <c r="C65" s="56" t="s">
        <v>18</v>
      </c>
      <c r="D65" s="15">
        <v>935</v>
      </c>
      <c r="E65" s="16">
        <v>1700</v>
      </c>
      <c r="F65" s="35">
        <f t="shared" si="6"/>
        <v>1.8181818181818181</v>
      </c>
    </row>
    <row r="66" spans="1:6" ht="24.95" customHeight="1" x14ac:dyDescent="0.25">
      <c r="A66" s="67"/>
      <c r="B66" s="55"/>
      <c r="C66" s="56" t="s">
        <v>58</v>
      </c>
      <c r="D66" s="15">
        <v>734</v>
      </c>
      <c r="E66" s="16">
        <v>1460</v>
      </c>
      <c r="F66" s="35">
        <f t="shared" si="6"/>
        <v>1.9891008174386922</v>
      </c>
    </row>
    <row r="67" spans="1:6" ht="24.95" customHeight="1" x14ac:dyDescent="0.25">
      <c r="A67" s="46" t="s">
        <v>59</v>
      </c>
      <c r="B67" s="53" t="s">
        <v>77</v>
      </c>
      <c r="C67" s="54" t="s">
        <v>18</v>
      </c>
      <c r="D67" s="13">
        <v>1045</v>
      </c>
      <c r="E67" s="14">
        <v>1613</v>
      </c>
      <c r="F67" s="36">
        <f>E67/D67</f>
        <v>1.5435406698564593</v>
      </c>
    </row>
    <row r="68" spans="1:6" ht="24.95" customHeight="1" x14ac:dyDescent="0.25">
      <c r="A68" s="46"/>
      <c r="B68" s="48"/>
      <c r="C68" s="22" t="s">
        <v>58</v>
      </c>
      <c r="D68" s="23">
        <v>900</v>
      </c>
      <c r="E68" s="24">
        <v>1493</v>
      </c>
      <c r="F68" s="39">
        <f t="shared" ref="F68:F70" si="7">E68/D68</f>
        <v>1.6588888888888889</v>
      </c>
    </row>
    <row r="69" spans="1:6" ht="24.95" customHeight="1" x14ac:dyDescent="0.25">
      <c r="A69" s="46"/>
      <c r="B69" s="53" t="s">
        <v>15</v>
      </c>
      <c r="C69" s="54" t="s">
        <v>18</v>
      </c>
      <c r="D69" s="13">
        <v>1037</v>
      </c>
      <c r="E69" s="14">
        <v>1710</v>
      </c>
      <c r="F69" s="36">
        <f t="shared" si="7"/>
        <v>1.6489874638379942</v>
      </c>
    </row>
    <row r="70" spans="1:6" ht="24.95" customHeight="1" thickBot="1" x14ac:dyDescent="0.3">
      <c r="A70" s="47"/>
      <c r="B70" s="50"/>
      <c r="C70" s="17" t="s">
        <v>58</v>
      </c>
      <c r="D70" s="18">
        <v>900</v>
      </c>
      <c r="E70" s="19">
        <v>1543</v>
      </c>
      <c r="F70" s="37">
        <f t="shared" si="7"/>
        <v>1.7144444444444444</v>
      </c>
    </row>
    <row r="71" spans="1:6" ht="20.100000000000001" customHeight="1" x14ac:dyDescent="0.25">
      <c r="B71"/>
      <c r="C71"/>
      <c r="D71"/>
      <c r="E71"/>
      <c r="F71"/>
    </row>
    <row r="72" spans="1:6" ht="20.100000000000001" customHeight="1" x14ac:dyDescent="0.25">
      <c r="B72"/>
      <c r="C72"/>
      <c r="D72"/>
      <c r="E72"/>
      <c r="F72"/>
    </row>
    <row r="73" spans="1:6" ht="20.100000000000001" customHeight="1" x14ac:dyDescent="0.25">
      <c r="B73"/>
      <c r="C73"/>
      <c r="D73"/>
      <c r="E73"/>
      <c r="F73"/>
    </row>
    <row r="74" spans="1:6" ht="20.100000000000001" customHeight="1" x14ac:dyDescent="0.25">
      <c r="B74"/>
      <c r="C74"/>
      <c r="D74"/>
      <c r="E74"/>
      <c r="F74"/>
    </row>
    <row r="75" spans="1:6" ht="20.100000000000001" customHeight="1" x14ac:dyDescent="0.25">
      <c r="B75"/>
      <c r="C75"/>
      <c r="D75"/>
      <c r="E75"/>
      <c r="F75"/>
    </row>
    <row r="76" spans="1:6" ht="20.100000000000001" customHeight="1" x14ac:dyDescent="0.25">
      <c r="B76"/>
      <c r="C76"/>
      <c r="D76"/>
      <c r="E76"/>
      <c r="F76"/>
    </row>
    <row r="77" spans="1:6" ht="20.100000000000001" customHeight="1" x14ac:dyDescent="0.25">
      <c r="B77"/>
      <c r="C77"/>
      <c r="D77"/>
      <c r="E77"/>
      <c r="F77"/>
    </row>
    <row r="78" spans="1:6" ht="20.100000000000001" customHeight="1" x14ac:dyDescent="0.25">
      <c r="B78"/>
      <c r="C78"/>
      <c r="D78"/>
      <c r="E78"/>
      <c r="F78"/>
    </row>
    <row r="79" spans="1:6" ht="20.100000000000001" customHeight="1" x14ac:dyDescent="0.25">
      <c r="B79"/>
      <c r="C79"/>
      <c r="D79"/>
      <c r="E79"/>
      <c r="F79"/>
    </row>
    <row r="80" spans="1:6" ht="20.100000000000001" customHeight="1" x14ac:dyDescent="0.25">
      <c r="C80"/>
      <c r="D80"/>
      <c r="E80"/>
      <c r="F80"/>
    </row>
    <row r="81" spans="3:6" ht="20.100000000000001" customHeight="1" x14ac:dyDescent="0.25">
      <c r="C81"/>
      <c r="D81"/>
      <c r="E81"/>
      <c r="F81"/>
    </row>
    <row r="82" spans="3:6" x14ac:dyDescent="0.25">
      <c r="C82"/>
      <c r="D82"/>
      <c r="E82"/>
      <c r="F82"/>
    </row>
    <row r="83" spans="3:6" x14ac:dyDescent="0.25">
      <c r="C83"/>
      <c r="D83"/>
      <c r="E83"/>
    </row>
    <row r="84" spans="3:6" x14ac:dyDescent="0.25">
      <c r="C84"/>
      <c r="D84"/>
      <c r="E84"/>
    </row>
    <row r="85" spans="3:6" x14ac:dyDescent="0.25">
      <c r="C85"/>
      <c r="D85"/>
      <c r="E85"/>
    </row>
    <row r="86" spans="3:6" x14ac:dyDescent="0.25">
      <c r="C86"/>
      <c r="D86"/>
      <c r="E86"/>
    </row>
    <row r="87" spans="3:6" x14ac:dyDescent="0.25">
      <c r="C87"/>
      <c r="D87"/>
      <c r="E87"/>
    </row>
    <row r="88" spans="3:6" x14ac:dyDescent="0.25">
      <c r="C88"/>
      <c r="D88"/>
      <c r="E88"/>
    </row>
    <row r="89" spans="3:6" x14ac:dyDescent="0.25">
      <c r="C89"/>
      <c r="D89"/>
      <c r="E89"/>
    </row>
    <row r="90" spans="3:6" x14ac:dyDescent="0.25">
      <c r="C90"/>
      <c r="D90"/>
      <c r="E90"/>
    </row>
  </sheetData>
  <mergeCells count="51">
    <mergeCell ref="B40:B41"/>
    <mergeCell ref="A40:A41"/>
    <mergeCell ref="A63:A66"/>
    <mergeCell ref="B63:B64"/>
    <mergeCell ref="B65:B66"/>
    <mergeCell ref="A67:A70"/>
    <mergeCell ref="B67:B68"/>
    <mergeCell ref="B69:B70"/>
    <mergeCell ref="A7:A8"/>
    <mergeCell ref="B7:B8"/>
    <mergeCell ref="A47:A52"/>
    <mergeCell ref="A43:A46"/>
    <mergeCell ref="B43:B44"/>
    <mergeCell ref="B45:B46"/>
    <mergeCell ref="A23:A24"/>
    <mergeCell ref="B23:B24"/>
    <mergeCell ref="A25:A27"/>
    <mergeCell ref="A32:A33"/>
    <mergeCell ref="B32:B33"/>
    <mergeCell ref="A34:A35"/>
    <mergeCell ref="B34:B35"/>
    <mergeCell ref="A36:A37"/>
    <mergeCell ref="B36:B37"/>
    <mergeCell ref="A53:A58"/>
    <mergeCell ref="A59:A62"/>
    <mergeCell ref="B47:B49"/>
    <mergeCell ref="B50:B52"/>
    <mergeCell ref="B53:B55"/>
    <mergeCell ref="B56:B58"/>
    <mergeCell ref="B59:B60"/>
    <mergeCell ref="B61:B62"/>
    <mergeCell ref="A5:A6"/>
    <mergeCell ref="B5:B6"/>
    <mergeCell ref="A1:F1"/>
    <mergeCell ref="A3:A4"/>
    <mergeCell ref="B3:B4"/>
    <mergeCell ref="A17:A18"/>
    <mergeCell ref="B17:B18"/>
    <mergeCell ref="B25:B27"/>
    <mergeCell ref="A28:A29"/>
    <mergeCell ref="B28:B29"/>
    <mergeCell ref="A14:A16"/>
    <mergeCell ref="B14:B16"/>
    <mergeCell ref="A11:A13"/>
    <mergeCell ref="B11:B13"/>
    <mergeCell ref="A9:A10"/>
    <mergeCell ref="B9:B10"/>
    <mergeCell ref="A19:A20"/>
    <mergeCell ref="B19:B20"/>
    <mergeCell ref="A30:A31"/>
    <mergeCell ref="B30:B31"/>
  </mergeCells>
  <pageMargins left="0.7" right="0.7" top="0.75" bottom="0.75" header="0.3" footer="0.3"/>
  <pageSetup scale="6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Riverview Plaza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 Lee</dc:creator>
  <cp:lastModifiedBy>Guenette, Brannon (Avison Young - CA)</cp:lastModifiedBy>
  <cp:lastPrinted>2024-02-28T22:29:00Z</cp:lastPrinted>
  <dcterms:created xsi:type="dcterms:W3CDTF">2020-02-17T16:29:06Z</dcterms:created>
  <dcterms:modified xsi:type="dcterms:W3CDTF">2026-03-26T22:12:40Z</dcterms:modified>
</cp:coreProperties>
</file>